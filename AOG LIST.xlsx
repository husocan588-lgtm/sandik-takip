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_TASKIN1\Desktop\Sandık Planlama\"/>
    </mc:Choice>
  </mc:AlternateContent>
  <xr:revisionPtr revIDLastSave="0" documentId="13_ncr:1_{5C89CEEA-087E-458A-BC7A-9C7F89EDAA76}" xr6:coauthVersionLast="47" xr6:coauthVersionMax="47" xr10:uidLastSave="{00000000-0000-0000-0000-000000000000}"/>
  <bookViews>
    <workbookView xWindow="-28920" yWindow="-120" windowWidth="29040" windowHeight="15840" activeTab="1" xr2:uid="{D7C82C2C-4B86-4814-A917-19EFC7B68049}"/>
  </bookViews>
  <sheets>
    <sheet name="SCREEN" sheetId="11" r:id="rId1"/>
    <sheet name="TOP LIST" sheetId="5" r:id="rId2"/>
    <sheet name="BOXES" sheetId="10" r:id="rId3"/>
    <sheet name="AOG LIST" sheetId="9" state="hidden" r:id="rId4"/>
  </sheets>
  <definedNames>
    <definedName name="_xlnm._FilterDatabase" localSheetId="1" hidden="1">'TOP LIST'!$A$1:$M$43</definedName>
    <definedName name="B787___B777___A350___A320">BOXES!$F$2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F3" i="11" s="1"/>
  <c r="D3" i="11"/>
  <c r="E3" i="11" l="1"/>
</calcChain>
</file>

<file path=xl/sharedStrings.xml><?xml version="1.0" encoding="utf-8"?>
<sst xmlns="http://schemas.openxmlformats.org/spreadsheetml/2006/main" count="1034" uniqueCount="364">
  <si>
    <t>AOG_PN</t>
  </si>
  <si>
    <t>A_C</t>
  </si>
  <si>
    <t>AOG_DATE</t>
  </si>
  <si>
    <t>ASR</t>
  </si>
  <si>
    <t>Inlet Cowl</t>
  </si>
  <si>
    <t>Fan Blade</t>
  </si>
  <si>
    <t>6A7614</t>
  </si>
  <si>
    <t>TUN</t>
  </si>
  <si>
    <t>TC-JSS</t>
  </si>
  <si>
    <t>BRU</t>
  </si>
  <si>
    <t>AYT</t>
  </si>
  <si>
    <t>Radome</t>
  </si>
  <si>
    <t>D53132210000</t>
  </si>
  <si>
    <t>SZF</t>
  </si>
  <si>
    <t>TC-JPH</t>
  </si>
  <si>
    <t>ADB</t>
  </si>
  <si>
    <t>GZT</t>
  </si>
  <si>
    <t>KYA</t>
  </si>
  <si>
    <t>TZX</t>
  </si>
  <si>
    <t>CAI</t>
  </si>
  <si>
    <t>DEL</t>
  </si>
  <si>
    <t>BJV</t>
  </si>
  <si>
    <t>TC-JYJ</t>
  </si>
  <si>
    <t>ESB</t>
  </si>
  <si>
    <t>TC-LNF</t>
  </si>
  <si>
    <t>GRU</t>
  </si>
  <si>
    <t>TBS</t>
  </si>
  <si>
    <t>LHR</t>
  </si>
  <si>
    <t>TC-JJK</t>
  </si>
  <si>
    <t>DIY</t>
  </si>
  <si>
    <t>ADA</t>
  </si>
  <si>
    <t>TC-JRR</t>
  </si>
  <si>
    <t>SGN</t>
  </si>
  <si>
    <t>VIE</t>
  </si>
  <si>
    <t>ERZ</t>
  </si>
  <si>
    <t>Nose Radome</t>
  </si>
  <si>
    <t>FRU</t>
  </si>
  <si>
    <t>TC-JNT</t>
  </si>
  <si>
    <t>LHE</t>
  </si>
  <si>
    <t>VAN</t>
  </si>
  <si>
    <t>TC-JZO</t>
  </si>
  <si>
    <t>141A4800-1</t>
  </si>
  <si>
    <t>TC-LLH</t>
  </si>
  <si>
    <t>TC-JZN</t>
  </si>
  <si>
    <t>TC-JTL</t>
  </si>
  <si>
    <t>BER</t>
  </si>
  <si>
    <t>TC-JOK</t>
  </si>
  <si>
    <t>PRG</t>
  </si>
  <si>
    <t>BAH</t>
  </si>
  <si>
    <t>TC-JSC</t>
  </si>
  <si>
    <t>284T0052-41</t>
  </si>
  <si>
    <t>LOS</t>
  </si>
  <si>
    <t>Lh Fixed Windshield Assy</t>
  </si>
  <si>
    <t>DUS</t>
  </si>
  <si>
    <t>284A1801-4</t>
  </si>
  <si>
    <t>TC-JOD</t>
  </si>
  <si>
    <t>D53132110000</t>
  </si>
  <si>
    <t>TC-JRC</t>
  </si>
  <si>
    <t>TC-JVY</t>
  </si>
  <si>
    <t>RZV</t>
  </si>
  <si>
    <t>TC-JYP</t>
  </si>
  <si>
    <t>TC-JKV</t>
  </si>
  <si>
    <t>BEG</t>
  </si>
  <si>
    <t>TC-JRT</t>
  </si>
  <si>
    <t>TC-JZU</t>
  </si>
  <si>
    <t>NAV</t>
  </si>
  <si>
    <t>TC-JLV</t>
  </si>
  <si>
    <t>MAD</t>
  </si>
  <si>
    <t>TC-JRK</t>
  </si>
  <si>
    <t>BCN</t>
  </si>
  <si>
    <t>TC-LOF</t>
  </si>
  <si>
    <t>DLM</t>
  </si>
  <si>
    <t>TC-JRL</t>
  </si>
  <si>
    <t>TC-JTR</t>
  </si>
  <si>
    <t>TC-JRO</t>
  </si>
  <si>
    <t>EZS</t>
  </si>
  <si>
    <t>TC-JST</t>
  </si>
  <si>
    <t>TC-JTM</t>
  </si>
  <si>
    <t>Door Assy</t>
  </si>
  <si>
    <t>TC-JMJ</t>
  </si>
  <si>
    <t>TC-LJF</t>
  </si>
  <si>
    <t>TC-LGA</t>
  </si>
  <si>
    <t>TC-JRY</t>
  </si>
  <si>
    <t>TC-JPI</t>
  </si>
  <si>
    <t>DFW</t>
  </si>
  <si>
    <t>745-3400-507</t>
  </si>
  <si>
    <t>EBL</t>
  </si>
  <si>
    <t>TC-JPJ</t>
  </si>
  <si>
    <t>TC-JVG</t>
  </si>
  <si>
    <t>TC-JSM</t>
  </si>
  <si>
    <t>TC-JRB</t>
  </si>
  <si>
    <t>TC-JLY</t>
  </si>
  <si>
    <t>TC-JGR</t>
  </si>
  <si>
    <t>TC-JRG</t>
  </si>
  <si>
    <t>VKO</t>
  </si>
  <si>
    <t>TC-JSR</t>
  </si>
  <si>
    <t>TC-JSE</t>
  </si>
  <si>
    <t>745-3400-503</t>
  </si>
  <si>
    <t>F53132110000</t>
  </si>
  <si>
    <t>EZE</t>
  </si>
  <si>
    <t>TC-JLT</t>
  </si>
  <si>
    <t>Rh Core Cowl</t>
  </si>
  <si>
    <t>224-2302-549</t>
  </si>
  <si>
    <t>MXP</t>
  </si>
  <si>
    <t>TC-LSK</t>
  </si>
  <si>
    <t>JFK</t>
  </si>
  <si>
    <t>TC-JNA</t>
  </si>
  <si>
    <t>TC-LTH</t>
  </si>
  <si>
    <t>EBB</t>
  </si>
  <si>
    <t>E/E Access Door</t>
  </si>
  <si>
    <t>TC-JJG</t>
  </si>
  <si>
    <t>TC-JSF</t>
  </si>
  <si>
    <t>TC-JJZ</t>
  </si>
  <si>
    <t>LED</t>
  </si>
  <si>
    <t>AMM</t>
  </si>
  <si>
    <t>TC-JVJ</t>
  </si>
  <si>
    <t>340-001-036-0</t>
  </si>
  <si>
    <t>340-001-038-0</t>
  </si>
  <si>
    <t>Fan Cowl Lh</t>
  </si>
  <si>
    <t>HND</t>
  </si>
  <si>
    <t>TC-JGY</t>
  </si>
  <si>
    <t>MSR</t>
  </si>
  <si>
    <t>TC-JOI</t>
  </si>
  <si>
    <t>TC-JMI</t>
  </si>
  <si>
    <t>RUH</t>
  </si>
  <si>
    <t>TC-JKY</t>
  </si>
  <si>
    <t>SJ30820</t>
  </si>
  <si>
    <t>TC-LGL</t>
  </si>
  <si>
    <t>TC-JPR</t>
  </si>
  <si>
    <t>TC-JTK</t>
  </si>
  <si>
    <t>TC-LTM</t>
  </si>
  <si>
    <t>BUS</t>
  </si>
  <si>
    <t>TC-JVS</t>
  </si>
  <si>
    <t>TC-LLZ</t>
  </si>
  <si>
    <t>PART DESC.</t>
  </si>
  <si>
    <t>AOG_LOC</t>
  </si>
  <si>
    <t>D5746091000200</t>
  </si>
  <si>
    <t>Slat Assy Lh</t>
  </si>
  <si>
    <t>Fairing Assy</t>
  </si>
  <si>
    <t>113A9350-202</t>
  </si>
  <si>
    <t>TC-JSG</t>
  </si>
  <si>
    <t>D5746093000500</t>
  </si>
  <si>
    <t>Slat Assy Rh No.3</t>
  </si>
  <si>
    <t>TC-JMK</t>
  </si>
  <si>
    <t>F5746348800400</t>
  </si>
  <si>
    <t>A330 Slat No:4</t>
  </si>
  <si>
    <t>Rh Slat Assy</t>
  </si>
  <si>
    <t>TC-LTZ</t>
  </si>
  <si>
    <t>114A5020-13</t>
  </si>
  <si>
    <t>Slat Assy - Box</t>
  </si>
  <si>
    <t>D53132010000</t>
  </si>
  <si>
    <t>RMO</t>
  </si>
  <si>
    <t>340-001-039-0</t>
  </si>
  <si>
    <t>TC-LUR</t>
  </si>
  <si>
    <t>314A2630-103</t>
  </si>
  <si>
    <t>Exh.Nozzle Primary</t>
  </si>
  <si>
    <t>315A2521-19</t>
  </si>
  <si>
    <t>Sleeve LH</t>
  </si>
  <si>
    <t>352-1500-505</t>
  </si>
  <si>
    <t>Fan Cowl</t>
  </si>
  <si>
    <t>351-2001-531</t>
  </si>
  <si>
    <t>V2500 Fan Blade</t>
  </si>
  <si>
    <t>TC-JRU</t>
  </si>
  <si>
    <t>TC-LPC</t>
  </si>
  <si>
    <t>745-4000-515</t>
  </si>
  <si>
    <t>LH Fan Cowl</t>
  </si>
  <si>
    <t>COV</t>
  </si>
  <si>
    <t>SKG</t>
  </si>
  <si>
    <t>WR102AQAAAAA</t>
  </si>
  <si>
    <t>Slat 2 Rh</t>
  </si>
  <si>
    <t>6A7655</t>
  </si>
  <si>
    <t>1782M89P08</t>
  </si>
  <si>
    <t>Fan Rotor Blade</t>
  </si>
  <si>
    <t>BJL</t>
  </si>
  <si>
    <t>TC-JTU</t>
  </si>
  <si>
    <t>2012M92G03</t>
  </si>
  <si>
    <t>315W1591-2</t>
  </si>
  <si>
    <t>TC-JTV</t>
  </si>
  <si>
    <t>137W2001-4</t>
  </si>
  <si>
    <t>284T0052-39</t>
  </si>
  <si>
    <t>1782M89P04</t>
  </si>
  <si>
    <t>TC-LKE</t>
  </si>
  <si>
    <t>TC-JTT</t>
  </si>
  <si>
    <t>745-0002-519</t>
  </si>
  <si>
    <t>R/H Nac.R/H T/R</t>
  </si>
  <si>
    <t>284A1801-3</t>
  </si>
  <si>
    <t>1001002-7B</t>
  </si>
  <si>
    <t>TC-LST</t>
  </si>
  <si>
    <t>636-2051-521</t>
  </si>
  <si>
    <t>Rh Fan Cowl</t>
  </si>
  <si>
    <t>TC-LPF</t>
  </si>
  <si>
    <t>636-3008-517</t>
  </si>
  <si>
    <t>Rh Tr Cowl</t>
  </si>
  <si>
    <t>V53132110000</t>
  </si>
  <si>
    <t>Door Assy Lh</t>
  </si>
  <si>
    <t>412Z6120-11</t>
  </si>
  <si>
    <t>5195-200-11</t>
  </si>
  <si>
    <t>721Z1100-103</t>
  </si>
  <si>
    <t>737-0010-35</t>
  </si>
  <si>
    <t>Winglet Assy, Lh</t>
  </si>
  <si>
    <t>D5757415500600</t>
  </si>
  <si>
    <t>Fairing Assy-1A,Externial</t>
  </si>
  <si>
    <t>636-3007-521</t>
  </si>
  <si>
    <t>Lh Tr Cowl, Eng 2</t>
  </si>
  <si>
    <t>TC-JMH</t>
  </si>
  <si>
    <t>636-3005-521</t>
  </si>
  <si>
    <t>Lh Tr Cowl, Eng 1</t>
  </si>
  <si>
    <t>QTY</t>
  </si>
  <si>
    <t>PN</t>
  </si>
  <si>
    <t>DESC</t>
  </si>
  <si>
    <t>A/C TYPE</t>
  </si>
  <si>
    <t>319-320-321</t>
  </si>
  <si>
    <t>V2500 FAN BLADE</t>
  </si>
  <si>
    <t>BLADE, FAN ROTOR</t>
  </si>
  <si>
    <t>A330</t>
  </si>
  <si>
    <t>NOSE RADOME</t>
  </si>
  <si>
    <t>RADOME</t>
  </si>
  <si>
    <t>BLADE - FAN, ASSEMBLY OF</t>
  </si>
  <si>
    <t>A321</t>
  </si>
  <si>
    <t>RADOME ASSY</t>
  </si>
  <si>
    <t>B737-800/900</t>
  </si>
  <si>
    <t>INLET COWL</t>
  </si>
  <si>
    <t>A320-A321</t>
  </si>
  <si>
    <t>FAN BLADE</t>
  </si>
  <si>
    <t>RADOME NOSE</t>
  </si>
  <si>
    <t>B777</t>
  </si>
  <si>
    <t>30HOLE STRAKE LH FAN COWL</t>
  </si>
  <si>
    <t>RH NO.3 SLAT ASSY</t>
  </si>
  <si>
    <t xml:space="preserve">FAIRING ASSY </t>
  </si>
  <si>
    <t>SLAT ASSY - BOX</t>
  </si>
  <si>
    <t>CORE COWL, RH</t>
  </si>
  <si>
    <t>EXH.NOZZLE,PRIMARY</t>
  </si>
  <si>
    <t>T/R SLEEVE ASSY(LH)</t>
  </si>
  <si>
    <t>DOOR ASSY</t>
  </si>
  <si>
    <t>COWL ASSY DOOR,FAN - LH ENG1</t>
  </si>
  <si>
    <t>A350</t>
  </si>
  <si>
    <t>COWL, AIR INLET</t>
  </si>
  <si>
    <t>RADOME ASSEMBLY</t>
  </si>
  <si>
    <t>B787</t>
  </si>
  <si>
    <t>RH FAN COWL, ENG 2</t>
  </si>
  <si>
    <t>LH TR COWL, ENG 1</t>
  </si>
  <si>
    <t>LH TR COWL, ENG 2</t>
  </si>
  <si>
    <t>RH TR COWL, ENG 2</t>
  </si>
  <si>
    <t>WINGLET ASSY, LH</t>
  </si>
  <si>
    <t>R/H NAC. R/H T/R</t>
  </si>
  <si>
    <t>LH NO.1 SLAT ASSY</t>
  </si>
  <si>
    <t>FAIRING ASSY-1A,EXTERNAL</t>
  </si>
  <si>
    <t>RADOME-NOSE</t>
  </si>
  <si>
    <t>A330 SLAT NO 4 (LH)</t>
  </si>
  <si>
    <t>COWL, INLET</t>
  </si>
  <si>
    <t>SLAT 2 RH</t>
  </si>
  <si>
    <t>Hangi Lokasyon</t>
  </si>
  <si>
    <t>Hangi bin</t>
  </si>
  <si>
    <t>Hangi Meydan</t>
  </si>
  <si>
    <t>ISL</t>
  </si>
  <si>
    <t>ISL-60</t>
  </si>
  <si>
    <t>NO_BIN</t>
  </si>
  <si>
    <t>IST</t>
  </si>
  <si>
    <t>IST-WH-ROT</t>
  </si>
  <si>
    <t>1D17C04</t>
  </si>
  <si>
    <t>IST-RESERV</t>
  </si>
  <si>
    <t>CFB-B01</t>
  </si>
  <si>
    <t>1D35F01</t>
  </si>
  <si>
    <t>CFB-G01</t>
  </si>
  <si>
    <t>IST-WH-DH</t>
  </si>
  <si>
    <t>DH07D01</t>
  </si>
  <si>
    <t>SAW</t>
  </si>
  <si>
    <t>SAW-CST-US</t>
  </si>
  <si>
    <t>Y2C</t>
  </si>
  <si>
    <t>IST-WH-CFB</t>
  </si>
  <si>
    <t>ISL-WH-US</t>
  </si>
  <si>
    <t>10500 KOLON 3-C</t>
  </si>
  <si>
    <t>10500 KOLON 1-A</t>
  </si>
  <si>
    <t>ISL-WH-DPH</t>
  </si>
  <si>
    <t>0222G3</t>
  </si>
  <si>
    <t>1D15C04</t>
  </si>
  <si>
    <t>ISL-WH-ROT</t>
  </si>
  <si>
    <t>16YER1</t>
  </si>
  <si>
    <t>SAW-WH-MTR</t>
  </si>
  <si>
    <t>M1-A3</t>
  </si>
  <si>
    <t>-</t>
  </si>
  <si>
    <t>SAW-WH-DPH</t>
  </si>
  <si>
    <t>M2F</t>
  </si>
  <si>
    <t>DESTEK-YENİ</t>
  </si>
  <si>
    <t>CFB-A01</t>
  </si>
  <si>
    <t>ISL-WH-LAS</t>
  </si>
  <si>
    <t>LAS04-06</t>
  </si>
  <si>
    <t>M3G</t>
  </si>
  <si>
    <t>IST-WH-DPH</t>
  </si>
  <si>
    <t>CFB-E01</t>
  </si>
  <si>
    <t>PPC-RESERV</t>
  </si>
  <si>
    <t>IKRAM5</t>
  </si>
  <si>
    <t>SEAT02</t>
  </si>
  <si>
    <t>00001</t>
  </si>
  <si>
    <t>DH07A01</t>
  </si>
  <si>
    <t>ISL-WH-ART</t>
  </si>
  <si>
    <t>16YER2</t>
  </si>
  <si>
    <t>10500 KOLON 4</t>
  </si>
  <si>
    <t>10500 FAAL TARAF</t>
  </si>
  <si>
    <t>Yükseklik</t>
  </si>
  <si>
    <t>Uzunluk</t>
  </si>
  <si>
    <t>Genişlik</t>
  </si>
  <si>
    <t>UZUNLUK</t>
  </si>
  <si>
    <t>DERİNLİK</t>
  </si>
  <si>
    <t>YÜKSEKLİK</t>
  </si>
  <si>
    <t>Kaç Kez</t>
  </si>
  <si>
    <t>Kaç Adet</t>
  </si>
  <si>
    <t>Kutu Tipi</t>
  </si>
  <si>
    <t>A</t>
  </si>
  <si>
    <t>E</t>
  </si>
  <si>
    <t>C</t>
  </si>
  <si>
    <t>B</t>
  </si>
  <si>
    <t>D</t>
  </si>
  <si>
    <t>KUTU KODU</t>
  </si>
  <si>
    <t>UÇAKLAR</t>
  </si>
  <si>
    <t>B787 , B777 , A350 , A320</t>
  </si>
  <si>
    <t xml:space="preserve">A310-300F , A330-200F , B777F , B747F , A350F , A321P2F </t>
  </si>
  <si>
    <t xml:space="preserve">A350-900 , B787-9 , A330-200 , A330-300 , B77-300ER , A310-300F , A330-200F , B777F , B747F , A350F , A321P2F </t>
  </si>
  <si>
    <t xml:space="preserve">A319-100 , A320-200 , A321-200 , B777-300ER , B787-9 , A320-NEO , A321-NEO , A330-200 , A330-300 , A350-900 , A310-300F , A330-200F , B777F , B747F , A350F , A321P2F </t>
  </si>
  <si>
    <t>F</t>
  </si>
  <si>
    <t>G</t>
  </si>
  <si>
    <t>Uçak Tipi</t>
  </si>
  <si>
    <t>H (4'lü)</t>
  </si>
  <si>
    <t>I (6'lı)</t>
  </si>
  <si>
    <t>J (4'lü)</t>
  </si>
  <si>
    <t xml:space="preserve">A319-100 , A320-200 , A321-200 , A320-NEO , A321-NEO , A330-200 , A330-300 , B777-300ER , A350-900 , B787-9 , A310-300F , A330-200F , B777F , B747F , A350F , A321P2F </t>
  </si>
  <si>
    <t>PN Seçiniz</t>
  </si>
  <si>
    <t>Mevcuttaki Kutu Adeti</t>
  </si>
  <si>
    <t>Mevcut Adet</t>
  </si>
  <si>
    <t>Kutu Ebatları</t>
  </si>
  <si>
    <t>220*200*160</t>
  </si>
  <si>
    <t>195*185*170</t>
  </si>
  <si>
    <t>125*120*120</t>
  </si>
  <si>
    <t>285*270*180</t>
  </si>
  <si>
    <t>360*70*50</t>
  </si>
  <si>
    <t>340*60*80</t>
  </si>
  <si>
    <t>285*200*200</t>
  </si>
  <si>
    <t>83*78*93</t>
  </si>
  <si>
    <t>139*108*103</t>
  </si>
  <si>
    <t>122*67*85</t>
  </si>
  <si>
    <t>K</t>
  </si>
  <si>
    <t>L</t>
  </si>
  <si>
    <t>M</t>
  </si>
  <si>
    <t>N</t>
  </si>
  <si>
    <t>240*240*165</t>
  </si>
  <si>
    <t>205*105*165</t>
  </si>
  <si>
    <t>100*415*100</t>
  </si>
  <si>
    <t>76*139*30</t>
  </si>
  <si>
    <t>O'2Li</t>
  </si>
  <si>
    <t>330*305*200</t>
  </si>
  <si>
    <t xml:space="preserve">A330-200 , A330-300 , A350-900 , B777-300ER , B787-9 , A310-300F , A330-200F , B777F , B747F , A350F , A321P2F </t>
  </si>
  <si>
    <t xml:space="preserve">A319-100 , A320-200 , A320-NEO , A321-200 , A321-NEO , A330-200 , A330-300 , A350-900 , B777-300ER , B787-9 , A310-300F , A330-200F , B777F , B747F , A350F , A321P2F ,  A310-300F , A330-200F , B777F , B747F , A350F , A321P2F </t>
  </si>
  <si>
    <t xml:space="preserve"> A310-300F , A330-200F , B777F , B747F , A350F , A321P2F </t>
  </si>
  <si>
    <t xml:space="preserve">B737-900ER , B737-800 , B737 MAX 8 , B737 MAX 9 , A319-100 , A320-200 , A320-NEO , A321-200 , A321-NEO , A330-200 , A330-300 , A350-900 , B777-300ER , B787-9 , A310-300F , A330-200F , B777F , B747F , A350F , A321P2F ,  A310-300F , A330-200F , B777F , B747F , A350F , A321P2F </t>
  </si>
  <si>
    <t>Envanter Yok</t>
  </si>
  <si>
    <t>Durum</t>
  </si>
  <si>
    <t>Hassas</t>
  </si>
  <si>
    <t>İKRAM 1B</t>
  </si>
  <si>
    <t>IST-WH-CRT</t>
  </si>
  <si>
    <t>CREDIT BIN</t>
  </si>
  <si>
    <t>CFB-ÖNÜ</t>
  </si>
  <si>
    <t>KD683L271G04</t>
  </si>
  <si>
    <t>TRANSCOWL ASSY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</si>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</sst>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NumberFormat="1" applyFill="1" applyBorder="1" applyAlignment="1" applyProtection="1">
      <alignment horizontal="center" vertical="top"/>
    </xf>
    <xf numFmtId="14" fontId="0" fillId="0" borderId="1" xfId="0" applyNumberFormat="1" applyFill="1" applyBorder="1" applyAlignment="1" applyProtection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D29A-F38A-4B27-9A6C-0D901C834D3C}">
  <dimension ref="B1:F3"/>
  <sheetViews>
    <sheetView showGridLines="0" workbookViewId="0">
      <selection activeCell="B28" sqref="B28"/>
    </sheetView>
  </sheetViews>
  <sheetFormatPr defaultRowHeight="15" x14ac:dyDescent="0.25"/>
  <cols>
    <col min="1" max="1" width="3" customWidth="1"/>
    <col min="2" max="2" width="47.85546875" customWidth="1"/>
    <col min="3" max="3" width="24.28515625" customWidth="1"/>
    <col min="4" max="4" width="64.42578125" customWidth="1"/>
    <col min="5" max="5" width="36.5703125" customWidth="1"/>
    <col min="6" max="6" width="38.42578125" customWidth="1"/>
  </cols>
  <sheetData>
    <row r="1" spans="2:6" ht="9.75" customHeight="1" thickBot="1" x14ac:dyDescent="0.3"/>
    <row r="2" spans="2:6" ht="54" customHeight="1" thickBot="1" x14ac:dyDescent="0.3">
      <c r="B2" s="23" t="s">
        <v>326</v>
      </c>
      <c r="C2" s="24" t="s">
        <v>307</v>
      </c>
      <c r="D2" s="25" t="s">
        <v>321</v>
      </c>
      <c r="E2" s="25" t="s">
        <v>327</v>
      </c>
      <c r="F2" s="25" t="s">
        <v>329</v>
      </c>
    </row>
    <row r="3" spans="2:6" ht="92.25" customHeight="1" thickBot="1" x14ac:dyDescent="0.3">
      <c r="B3" s="22" t="s">
        <v>188</v>
      </c>
      <c r="C3" s="19" t="str">
        <f>VLOOKUP(B3,'TOP LIST'!$A$1:$M$42,12,0)</f>
        <v>G</v>
      </c>
      <c r="D3" s="20" t="str">
        <f>VLOOKUP(B3,'TOP LIST'!$A$1:$M$42,13,0)</f>
        <v xml:space="preserve">A310-300F , A330-200F , B777F , B747F , A350F , A321P2F </v>
      </c>
      <c r="E3" s="19">
        <f>VLOOKUP(C3,BOXES!A1:G16,6,0)</f>
        <v>1</v>
      </c>
      <c r="F3" s="19" t="str">
        <f>VLOOKUP(C3,BOXES!A1:G16,7,0)</f>
        <v>285*200*200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361807-E17A-4888-A442-15567AD73700}">
          <x14:formula1>
            <xm:f>'TOP LIST'!$A$1:$A$42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FB84-8BAF-4142-85D8-C1A858BD7D3F}">
  <sheetPr>
    <pageSetUpPr fitToPage="1"/>
  </sheetPr>
  <dimension ref="A1:N869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21.5703125" style="6" customWidth="1"/>
    <col min="2" max="2" width="12.42578125" style="6" customWidth="1"/>
    <col min="3" max="3" width="12.85546875" style="6" customWidth="1"/>
    <col min="4" max="4" width="18.5703125" style="6" customWidth="1"/>
    <col min="5" max="5" width="20.5703125" style="6" customWidth="1"/>
    <col min="6" max="6" width="19.85546875" style="6" customWidth="1"/>
    <col min="7" max="7" width="19" style="8" customWidth="1"/>
    <col min="8" max="8" width="28.140625" style="8" customWidth="1"/>
    <col min="9" max="9" width="14.42578125" style="8" customWidth="1"/>
    <col min="10" max="10" width="15" style="8" customWidth="1"/>
    <col min="11" max="11" width="14.42578125" style="8" customWidth="1"/>
    <col min="12" max="12" width="13.140625" style="21" customWidth="1"/>
    <col min="13" max="13" width="57.42578125" style="8" customWidth="1"/>
    <col min="14" max="16384" width="9.140625" style="8"/>
  </cols>
  <sheetData>
    <row r="1" spans="1:14" customFormat="1" x14ac:dyDescent="0.25">
      <c r="A1" s="9" t="s">
        <v>208</v>
      </c>
      <c r="B1" s="9" t="s">
        <v>305</v>
      </c>
      <c r="C1" s="9" t="s">
        <v>306</v>
      </c>
      <c r="D1" s="9" t="s">
        <v>210</v>
      </c>
      <c r="E1" s="9" t="s">
        <v>209</v>
      </c>
      <c r="F1" s="9" t="s">
        <v>253</v>
      </c>
      <c r="G1" s="9" t="s">
        <v>251</v>
      </c>
      <c r="H1" s="9" t="s">
        <v>252</v>
      </c>
      <c r="I1" s="9" t="s">
        <v>300</v>
      </c>
      <c r="J1" s="9" t="s">
        <v>301</v>
      </c>
      <c r="K1" s="9" t="s">
        <v>299</v>
      </c>
      <c r="L1" s="13" t="s">
        <v>307</v>
      </c>
      <c r="M1" s="9" t="s">
        <v>321</v>
      </c>
      <c r="N1" s="13" t="s">
        <v>355</v>
      </c>
    </row>
    <row r="2" spans="1:14" customFormat="1" ht="45" x14ac:dyDescent="0.25">
      <c r="A2" s="26" t="s">
        <v>6</v>
      </c>
      <c r="B2" s="26">
        <v>7</v>
      </c>
      <c r="C2" s="27">
        <v>32</v>
      </c>
      <c r="D2" s="28" t="s">
        <v>211</v>
      </c>
      <c r="E2" s="28" t="s">
        <v>212</v>
      </c>
      <c r="F2" s="28" t="s">
        <v>254</v>
      </c>
      <c r="G2" s="28" t="s">
        <v>255</v>
      </c>
      <c r="H2" s="28" t="s">
        <v>256</v>
      </c>
      <c r="I2" s="26">
        <v>62</v>
      </c>
      <c r="J2" s="26">
        <v>24</v>
      </c>
      <c r="K2" s="26">
        <v>30</v>
      </c>
      <c r="L2" s="29" t="s">
        <v>323</v>
      </c>
      <c r="M2" s="30" t="s">
        <v>325</v>
      </c>
      <c r="N2" s="35" t="s">
        <v>356</v>
      </c>
    </row>
    <row r="3" spans="1:14" customFormat="1" ht="45" customHeight="1" x14ac:dyDescent="0.25">
      <c r="A3" s="11" t="s">
        <v>12</v>
      </c>
      <c r="B3" s="11">
        <v>15</v>
      </c>
      <c r="C3" s="12">
        <v>15</v>
      </c>
      <c r="D3" s="10" t="s">
        <v>211</v>
      </c>
      <c r="E3" s="10" t="s">
        <v>215</v>
      </c>
      <c r="F3" s="10" t="s">
        <v>257</v>
      </c>
      <c r="G3" s="10" t="s">
        <v>260</v>
      </c>
      <c r="H3" s="10" t="s">
        <v>261</v>
      </c>
      <c r="I3" s="11">
        <v>175</v>
      </c>
      <c r="J3" s="11">
        <v>190</v>
      </c>
      <c r="K3" s="11">
        <v>100</v>
      </c>
      <c r="L3" s="15" t="s">
        <v>308</v>
      </c>
      <c r="M3" s="17" t="s">
        <v>315</v>
      </c>
    </row>
    <row r="4" spans="1:14" customFormat="1" ht="45" customHeight="1" x14ac:dyDescent="0.25">
      <c r="A4" s="11" t="s">
        <v>56</v>
      </c>
      <c r="B4" s="11">
        <v>13</v>
      </c>
      <c r="C4" s="12">
        <v>13</v>
      </c>
      <c r="D4" s="10" t="s">
        <v>211</v>
      </c>
      <c r="E4" s="10" t="s">
        <v>216</v>
      </c>
      <c r="F4" s="10" t="s">
        <v>257</v>
      </c>
      <c r="G4" s="10" t="s">
        <v>260</v>
      </c>
      <c r="H4" s="10" t="s">
        <v>263</v>
      </c>
      <c r="I4" s="11">
        <v>190</v>
      </c>
      <c r="J4" s="11">
        <v>190</v>
      </c>
      <c r="K4" s="11">
        <v>100</v>
      </c>
      <c r="L4" s="15" t="s">
        <v>308</v>
      </c>
      <c r="M4" s="17" t="s">
        <v>315</v>
      </c>
    </row>
    <row r="5" spans="1:14" customFormat="1" ht="45" customHeight="1" x14ac:dyDescent="0.25">
      <c r="A5" s="11" t="s">
        <v>54</v>
      </c>
      <c r="B5" s="11">
        <v>5</v>
      </c>
      <c r="C5" s="12">
        <v>5</v>
      </c>
      <c r="D5" s="10" t="s">
        <v>220</v>
      </c>
      <c r="E5" s="10" t="s">
        <v>219</v>
      </c>
      <c r="F5" s="10" t="s">
        <v>257</v>
      </c>
      <c r="G5" s="10" t="s">
        <v>269</v>
      </c>
      <c r="H5" s="10" t="s">
        <v>261</v>
      </c>
      <c r="I5" s="11">
        <v>155</v>
      </c>
      <c r="J5" s="11">
        <v>180</v>
      </c>
      <c r="K5" s="11">
        <v>135</v>
      </c>
      <c r="L5" s="15" t="s">
        <v>311</v>
      </c>
      <c r="M5" s="17" t="s">
        <v>316</v>
      </c>
    </row>
    <row r="6" spans="1:14" customFormat="1" ht="45" customHeight="1" x14ac:dyDescent="0.25">
      <c r="A6" s="26" t="s">
        <v>117</v>
      </c>
      <c r="B6" s="26">
        <v>2</v>
      </c>
      <c r="C6" s="27">
        <v>3</v>
      </c>
      <c r="D6" s="28" t="s">
        <v>220</v>
      </c>
      <c r="E6" s="28" t="s">
        <v>223</v>
      </c>
      <c r="F6" s="28" t="s">
        <v>257</v>
      </c>
      <c r="G6" s="28" t="s">
        <v>258</v>
      </c>
      <c r="H6" s="28" t="s">
        <v>275</v>
      </c>
      <c r="I6" s="26">
        <v>56</v>
      </c>
      <c r="J6" s="26">
        <v>26</v>
      </c>
      <c r="K6" s="26">
        <v>26</v>
      </c>
      <c r="L6" s="29" t="s">
        <v>322</v>
      </c>
      <c r="M6" s="30" t="s">
        <v>325</v>
      </c>
      <c r="N6" s="35" t="s">
        <v>356</v>
      </c>
    </row>
    <row r="7" spans="1:14" customFormat="1" ht="45" customHeight="1" x14ac:dyDescent="0.25">
      <c r="A7" s="26" t="s">
        <v>180</v>
      </c>
      <c r="B7" s="26">
        <v>2</v>
      </c>
      <c r="C7" s="27">
        <v>14</v>
      </c>
      <c r="D7" s="28" t="s">
        <v>214</v>
      </c>
      <c r="E7" s="28" t="s">
        <v>213</v>
      </c>
      <c r="F7" s="28" t="s">
        <v>257</v>
      </c>
      <c r="G7" s="28" t="s">
        <v>258</v>
      </c>
      <c r="H7" s="28" t="s">
        <v>262</v>
      </c>
      <c r="I7" s="26">
        <v>85</v>
      </c>
      <c r="J7" s="26">
        <v>30</v>
      </c>
      <c r="K7" s="26">
        <v>30</v>
      </c>
      <c r="L7" s="29" t="s">
        <v>323</v>
      </c>
      <c r="M7" s="30" t="s">
        <v>325</v>
      </c>
      <c r="N7" s="35" t="s">
        <v>356</v>
      </c>
    </row>
    <row r="8" spans="1:14" customFormat="1" ht="45" customHeight="1" x14ac:dyDescent="0.25">
      <c r="A8" s="11" t="s">
        <v>150</v>
      </c>
      <c r="B8" s="11">
        <v>6</v>
      </c>
      <c r="C8" s="12">
        <v>6</v>
      </c>
      <c r="D8" s="10" t="s">
        <v>211</v>
      </c>
      <c r="E8" s="10" t="s">
        <v>216</v>
      </c>
      <c r="F8" s="10" t="s">
        <v>266</v>
      </c>
      <c r="G8" s="10" t="s">
        <v>267</v>
      </c>
      <c r="H8" s="10" t="s">
        <v>268</v>
      </c>
      <c r="I8" s="11">
        <v>170</v>
      </c>
      <c r="J8" s="11">
        <v>170</v>
      </c>
      <c r="K8" s="11">
        <v>100</v>
      </c>
      <c r="L8" s="15" t="s">
        <v>308</v>
      </c>
      <c r="M8" s="17" t="s">
        <v>315</v>
      </c>
    </row>
    <row r="9" spans="1:14" customFormat="1" ht="45" customHeight="1" x14ac:dyDescent="0.25">
      <c r="A9" s="26" t="s">
        <v>171</v>
      </c>
      <c r="B9" s="26">
        <v>2</v>
      </c>
      <c r="C9" s="27">
        <v>16</v>
      </c>
      <c r="D9" s="28" t="s">
        <v>214</v>
      </c>
      <c r="E9" s="28" t="s">
        <v>213</v>
      </c>
      <c r="F9" s="28" t="s">
        <v>257</v>
      </c>
      <c r="G9" s="28" t="s">
        <v>258</v>
      </c>
      <c r="H9" s="28" t="s">
        <v>259</v>
      </c>
      <c r="I9" s="26">
        <v>87</v>
      </c>
      <c r="J9" s="26">
        <v>31</v>
      </c>
      <c r="K9" s="26">
        <v>31</v>
      </c>
      <c r="L9" s="29" t="s">
        <v>323</v>
      </c>
      <c r="M9" s="30" t="s">
        <v>325</v>
      </c>
      <c r="N9" s="35" t="s">
        <v>356</v>
      </c>
    </row>
    <row r="10" spans="1:14" customFormat="1" ht="45" customHeight="1" x14ac:dyDescent="0.25">
      <c r="A10" s="11" t="s">
        <v>85</v>
      </c>
      <c r="B10" s="11">
        <v>4</v>
      </c>
      <c r="C10" s="12">
        <v>4</v>
      </c>
      <c r="D10" s="10" t="s">
        <v>222</v>
      </c>
      <c r="E10" s="10" t="s">
        <v>221</v>
      </c>
      <c r="F10" s="10" t="s">
        <v>254</v>
      </c>
      <c r="G10" s="10" t="s">
        <v>270</v>
      </c>
      <c r="H10" s="10" t="s">
        <v>271</v>
      </c>
      <c r="I10" s="11">
        <v>225</v>
      </c>
      <c r="J10" s="11">
        <v>225</v>
      </c>
      <c r="K10" s="11">
        <v>125</v>
      </c>
      <c r="L10" s="15" t="s">
        <v>340</v>
      </c>
      <c r="M10" s="17" t="s">
        <v>350</v>
      </c>
    </row>
    <row r="11" spans="1:14" customFormat="1" ht="45" customHeight="1" x14ac:dyDescent="0.25">
      <c r="A11" s="26" t="s">
        <v>116</v>
      </c>
      <c r="B11" s="26">
        <v>2</v>
      </c>
      <c r="C11" s="27">
        <v>3</v>
      </c>
      <c r="D11" s="28" t="s">
        <v>220</v>
      </c>
      <c r="E11" s="28" t="s">
        <v>223</v>
      </c>
      <c r="F11" s="28" t="s">
        <v>254</v>
      </c>
      <c r="G11" s="28" t="s">
        <v>273</v>
      </c>
      <c r="H11" s="28" t="s">
        <v>274</v>
      </c>
      <c r="I11" s="26">
        <v>57</v>
      </c>
      <c r="J11" s="26">
        <v>21</v>
      </c>
      <c r="K11" s="26">
        <v>22</v>
      </c>
      <c r="L11" s="29" t="s">
        <v>322</v>
      </c>
      <c r="M11" s="30" t="s">
        <v>325</v>
      </c>
      <c r="N11" s="35" t="s">
        <v>356</v>
      </c>
    </row>
    <row r="12" spans="1:14" customFormat="1" ht="45" customHeight="1" x14ac:dyDescent="0.25">
      <c r="A12" s="26">
        <v>5322121</v>
      </c>
      <c r="B12" s="26">
        <v>1</v>
      </c>
      <c r="C12" s="27">
        <v>7</v>
      </c>
      <c r="D12" s="28" t="s">
        <v>218</v>
      </c>
      <c r="E12" s="28" t="s">
        <v>217</v>
      </c>
      <c r="F12" s="28" t="s">
        <v>257</v>
      </c>
      <c r="G12" s="28" t="s">
        <v>264</v>
      </c>
      <c r="H12" s="28" t="s">
        <v>265</v>
      </c>
      <c r="I12" s="26">
        <v>84</v>
      </c>
      <c r="J12" s="26">
        <v>35</v>
      </c>
      <c r="K12" s="26">
        <v>30</v>
      </c>
      <c r="L12" s="29" t="s">
        <v>323</v>
      </c>
      <c r="M12" s="30" t="s">
        <v>325</v>
      </c>
      <c r="N12" s="35" t="s">
        <v>356</v>
      </c>
    </row>
    <row r="13" spans="1:14" customFormat="1" ht="45" customHeight="1" x14ac:dyDescent="0.25">
      <c r="A13" s="11" t="s">
        <v>50</v>
      </c>
      <c r="B13" s="11">
        <v>2</v>
      </c>
      <c r="C13" s="12">
        <v>2</v>
      </c>
      <c r="D13" s="10" t="s">
        <v>225</v>
      </c>
      <c r="E13" s="10" t="s">
        <v>224</v>
      </c>
      <c r="F13" s="10" t="s">
        <v>254</v>
      </c>
      <c r="G13" s="10" t="s">
        <v>276</v>
      </c>
      <c r="H13" s="10" t="s">
        <v>277</v>
      </c>
      <c r="I13" s="11">
        <v>206</v>
      </c>
      <c r="J13" s="11">
        <v>206</v>
      </c>
      <c r="K13" s="11">
        <v>116</v>
      </c>
      <c r="L13" s="15" t="s">
        <v>340</v>
      </c>
      <c r="M13" s="17" t="s">
        <v>350</v>
      </c>
    </row>
    <row r="14" spans="1:14" customFormat="1" ht="45" customHeight="1" x14ac:dyDescent="0.25">
      <c r="A14" s="11" t="s">
        <v>97</v>
      </c>
      <c r="B14" s="11">
        <v>2</v>
      </c>
      <c r="C14" s="12">
        <v>2</v>
      </c>
      <c r="D14" s="10" t="s">
        <v>211</v>
      </c>
      <c r="E14" s="10" t="s">
        <v>221</v>
      </c>
      <c r="F14" s="10" t="s">
        <v>254</v>
      </c>
      <c r="G14" s="10" t="s">
        <v>270</v>
      </c>
      <c r="H14" s="10" t="s">
        <v>271</v>
      </c>
      <c r="I14" s="11">
        <v>220</v>
      </c>
      <c r="J14" s="11">
        <v>220</v>
      </c>
      <c r="K14" s="11">
        <v>125</v>
      </c>
      <c r="L14" s="15" t="s">
        <v>340</v>
      </c>
      <c r="M14" s="17" t="s">
        <v>350</v>
      </c>
    </row>
    <row r="15" spans="1:14" customFormat="1" ht="45" customHeight="1" x14ac:dyDescent="0.25">
      <c r="A15" s="11" t="s">
        <v>164</v>
      </c>
      <c r="B15" s="11">
        <v>2</v>
      </c>
      <c r="C15" s="12">
        <v>2</v>
      </c>
      <c r="D15" s="10" t="s">
        <v>211</v>
      </c>
      <c r="E15" s="10" t="s">
        <v>226</v>
      </c>
      <c r="F15" s="10" t="s">
        <v>266</v>
      </c>
      <c r="G15" s="10" t="s">
        <v>278</v>
      </c>
      <c r="H15" s="10" t="s">
        <v>279</v>
      </c>
      <c r="I15" s="11">
        <v>225</v>
      </c>
      <c r="J15" s="11">
        <v>210</v>
      </c>
      <c r="K15" s="11">
        <v>105</v>
      </c>
      <c r="L15" s="15" t="s">
        <v>312</v>
      </c>
      <c r="M15" s="17" t="s">
        <v>316</v>
      </c>
    </row>
    <row r="16" spans="1:14" customFormat="1" ht="45" customHeight="1" x14ac:dyDescent="0.25">
      <c r="A16" s="26" t="s">
        <v>141</v>
      </c>
      <c r="B16" s="26">
        <v>2</v>
      </c>
      <c r="C16" s="27">
        <v>2</v>
      </c>
      <c r="D16" s="28" t="s">
        <v>211</v>
      </c>
      <c r="E16" s="28" t="s">
        <v>227</v>
      </c>
      <c r="F16" s="28" t="s">
        <v>280</v>
      </c>
      <c r="G16" s="28" t="s">
        <v>280</v>
      </c>
      <c r="H16" s="28" t="s">
        <v>280</v>
      </c>
      <c r="I16" s="26"/>
      <c r="J16" s="26"/>
      <c r="K16" s="26"/>
      <c r="L16" s="29" t="s">
        <v>354</v>
      </c>
      <c r="M16" s="30"/>
    </row>
    <row r="17" spans="1:14" customFormat="1" ht="45" customHeight="1" x14ac:dyDescent="0.25">
      <c r="A17" s="26" t="s">
        <v>186</v>
      </c>
      <c r="B17" s="26">
        <v>1</v>
      </c>
      <c r="C17" s="27">
        <v>1</v>
      </c>
      <c r="D17" s="28" t="s">
        <v>220</v>
      </c>
      <c r="E17" s="28" t="s">
        <v>219</v>
      </c>
      <c r="F17" s="28" t="s">
        <v>280</v>
      </c>
      <c r="G17" s="28" t="s">
        <v>280</v>
      </c>
      <c r="H17" s="28" t="s">
        <v>280</v>
      </c>
      <c r="I17" s="26"/>
      <c r="J17" s="26"/>
      <c r="K17" s="26"/>
      <c r="L17" s="29" t="s">
        <v>354</v>
      </c>
      <c r="M17" s="30"/>
    </row>
    <row r="18" spans="1:14" customFormat="1" ht="45" customHeight="1" x14ac:dyDescent="0.25">
      <c r="A18" s="26" t="s">
        <v>139</v>
      </c>
      <c r="B18" s="26">
        <v>1</v>
      </c>
      <c r="C18" s="27">
        <v>1</v>
      </c>
      <c r="D18" s="28" t="s">
        <v>220</v>
      </c>
      <c r="E18" s="28" t="s">
        <v>228</v>
      </c>
      <c r="F18" s="28" t="s">
        <v>280</v>
      </c>
      <c r="G18" s="28" t="s">
        <v>280</v>
      </c>
      <c r="H18" s="28" t="s">
        <v>280</v>
      </c>
      <c r="I18" s="26"/>
      <c r="J18" s="26"/>
      <c r="K18" s="26"/>
      <c r="L18" s="29" t="s">
        <v>354</v>
      </c>
      <c r="M18" s="30"/>
    </row>
    <row r="19" spans="1:14" customFormat="1" ht="45" customHeight="1" x14ac:dyDescent="0.25">
      <c r="A19" s="11" t="s">
        <v>148</v>
      </c>
      <c r="B19" s="11">
        <v>1</v>
      </c>
      <c r="C19" s="12">
        <v>1</v>
      </c>
      <c r="D19" s="10" t="s">
        <v>220</v>
      </c>
      <c r="E19" s="10" t="s">
        <v>229</v>
      </c>
      <c r="F19" s="10" t="s">
        <v>266</v>
      </c>
      <c r="G19" s="10" t="s">
        <v>281</v>
      </c>
      <c r="H19" s="10" t="s">
        <v>282</v>
      </c>
      <c r="I19" s="11">
        <v>320</v>
      </c>
      <c r="J19" s="11">
        <v>40</v>
      </c>
      <c r="K19" s="11">
        <v>60</v>
      </c>
      <c r="L19" s="15" t="s">
        <v>319</v>
      </c>
      <c r="M19" s="17" t="s">
        <v>318</v>
      </c>
    </row>
    <row r="20" spans="1:14" customFormat="1" ht="45" customHeight="1" x14ac:dyDescent="0.25">
      <c r="A20" s="11" t="s">
        <v>102</v>
      </c>
      <c r="B20" s="11">
        <v>1</v>
      </c>
      <c r="C20" s="12">
        <v>1</v>
      </c>
      <c r="D20" s="10" t="s">
        <v>214</v>
      </c>
      <c r="E20" s="10" t="s">
        <v>230</v>
      </c>
      <c r="F20" s="10" t="s">
        <v>254</v>
      </c>
      <c r="G20" s="10" t="s">
        <v>270</v>
      </c>
      <c r="H20" s="10" t="s">
        <v>272</v>
      </c>
      <c r="I20" s="11">
        <v>195</v>
      </c>
      <c r="J20" s="11">
        <v>95</v>
      </c>
      <c r="K20" s="11">
        <v>135</v>
      </c>
      <c r="L20" s="15" t="s">
        <v>341</v>
      </c>
      <c r="M20" s="17" t="s">
        <v>350</v>
      </c>
    </row>
    <row r="21" spans="1:14" customFormat="1" ht="45" customHeight="1" x14ac:dyDescent="0.25">
      <c r="A21" s="11" t="s">
        <v>154</v>
      </c>
      <c r="B21" s="11">
        <v>1</v>
      </c>
      <c r="C21" s="12">
        <v>1</v>
      </c>
      <c r="D21" s="10" t="s">
        <v>220</v>
      </c>
      <c r="E21" s="10" t="s">
        <v>231</v>
      </c>
      <c r="F21" s="10" t="s">
        <v>257</v>
      </c>
      <c r="G21" s="10" t="s">
        <v>258</v>
      </c>
      <c r="H21" s="10" t="s">
        <v>283</v>
      </c>
      <c r="I21" s="11">
        <v>100</v>
      </c>
      <c r="J21" s="11">
        <v>110</v>
      </c>
      <c r="K21" s="11">
        <v>95</v>
      </c>
      <c r="L21" s="15" t="s">
        <v>310</v>
      </c>
      <c r="M21" s="17" t="s">
        <v>317</v>
      </c>
    </row>
    <row r="22" spans="1:14" customFormat="1" ht="45" customHeight="1" x14ac:dyDescent="0.25">
      <c r="A22" s="26" t="s">
        <v>179</v>
      </c>
      <c r="B22" s="26">
        <v>1</v>
      </c>
      <c r="C22" s="27">
        <v>1</v>
      </c>
      <c r="D22" s="28" t="s">
        <v>225</v>
      </c>
      <c r="E22" s="28" t="s">
        <v>224</v>
      </c>
      <c r="F22" s="28" t="s">
        <v>280</v>
      </c>
      <c r="G22" s="28" t="s">
        <v>280</v>
      </c>
      <c r="H22" s="28" t="s">
        <v>280</v>
      </c>
      <c r="I22" s="26"/>
      <c r="J22" s="26"/>
      <c r="K22" s="26"/>
      <c r="L22" s="29" t="s">
        <v>354</v>
      </c>
      <c r="M22" s="30"/>
    </row>
    <row r="23" spans="1:14" customFormat="1" ht="45" customHeight="1" x14ac:dyDescent="0.25">
      <c r="A23" s="26" t="s">
        <v>200</v>
      </c>
      <c r="B23" s="26">
        <v>1</v>
      </c>
      <c r="C23" s="27">
        <v>1</v>
      </c>
      <c r="D23" s="28" t="s">
        <v>222</v>
      </c>
      <c r="E23" s="28" t="s">
        <v>246</v>
      </c>
      <c r="F23" s="28" t="s">
        <v>257</v>
      </c>
      <c r="G23" s="28" t="s">
        <v>264</v>
      </c>
      <c r="H23" s="28" t="s">
        <v>294</v>
      </c>
      <c r="I23" s="26">
        <v>100</v>
      </c>
      <c r="J23" s="26">
        <v>18</v>
      </c>
      <c r="K23" s="26">
        <v>21</v>
      </c>
      <c r="L23" s="29" t="s">
        <v>324</v>
      </c>
      <c r="M23" s="30" t="s">
        <v>325</v>
      </c>
      <c r="N23" s="35"/>
    </row>
    <row r="24" spans="1:14" customFormat="1" ht="45" customHeight="1" x14ac:dyDescent="0.25">
      <c r="A24" s="11" t="s">
        <v>185</v>
      </c>
      <c r="B24" s="11">
        <v>1</v>
      </c>
      <c r="C24" s="12">
        <v>1</v>
      </c>
      <c r="D24" s="10" t="s">
        <v>220</v>
      </c>
      <c r="E24" s="10" t="s">
        <v>219</v>
      </c>
      <c r="F24" s="10" t="s">
        <v>257</v>
      </c>
      <c r="G24" s="10" t="s">
        <v>269</v>
      </c>
      <c r="H24" s="10" t="s">
        <v>261</v>
      </c>
      <c r="I24" s="11">
        <v>170</v>
      </c>
      <c r="J24" s="11">
        <v>175</v>
      </c>
      <c r="K24" s="11">
        <v>130</v>
      </c>
      <c r="L24" s="15" t="s">
        <v>311</v>
      </c>
      <c r="M24" s="17" t="s">
        <v>316</v>
      </c>
    </row>
    <row r="25" spans="1:14" customFormat="1" ht="45" customHeight="1" x14ac:dyDescent="0.25">
      <c r="A25" s="11" t="s">
        <v>176</v>
      </c>
      <c r="B25" s="11">
        <v>1</v>
      </c>
      <c r="C25" s="12">
        <v>1</v>
      </c>
      <c r="D25" s="10" t="s">
        <v>225</v>
      </c>
      <c r="E25" s="10" t="s">
        <v>233</v>
      </c>
      <c r="F25" s="10" t="s">
        <v>254</v>
      </c>
      <c r="G25" s="10" t="s">
        <v>285</v>
      </c>
      <c r="H25" s="10" t="s">
        <v>286</v>
      </c>
      <c r="I25" s="11">
        <v>58</v>
      </c>
      <c r="J25" s="11">
        <v>58</v>
      </c>
      <c r="K25" s="11">
        <v>10</v>
      </c>
      <c r="L25" s="15" t="s">
        <v>348</v>
      </c>
      <c r="M25" s="17" t="s">
        <v>353</v>
      </c>
    </row>
    <row r="26" spans="1:14" customFormat="1" ht="45" customHeight="1" x14ac:dyDescent="0.25">
      <c r="A26" s="26" t="s">
        <v>160</v>
      </c>
      <c r="B26" s="26">
        <v>1</v>
      </c>
      <c r="C26" s="27">
        <v>1</v>
      </c>
      <c r="D26" s="28" t="s">
        <v>235</v>
      </c>
      <c r="E26" s="28" t="s">
        <v>234</v>
      </c>
      <c r="F26" s="28" t="s">
        <v>280</v>
      </c>
      <c r="G26" s="28" t="s">
        <v>280</v>
      </c>
      <c r="H26" s="28" t="s">
        <v>280</v>
      </c>
      <c r="I26" s="26"/>
      <c r="J26" s="26"/>
      <c r="K26" s="26"/>
      <c r="L26" s="29" t="s">
        <v>354</v>
      </c>
      <c r="M26" s="30"/>
    </row>
    <row r="27" spans="1:14" customFormat="1" ht="45" customHeight="1" x14ac:dyDescent="0.25">
      <c r="A27" s="26" t="s">
        <v>158</v>
      </c>
      <c r="B27" s="26">
        <v>1</v>
      </c>
      <c r="C27" s="27">
        <v>1</v>
      </c>
      <c r="D27" s="28" t="s">
        <v>235</v>
      </c>
      <c r="E27" s="28" t="s">
        <v>236</v>
      </c>
      <c r="F27" s="28" t="s">
        <v>280</v>
      </c>
      <c r="G27" s="28" t="s">
        <v>280</v>
      </c>
      <c r="H27" s="28" t="s">
        <v>280</v>
      </c>
      <c r="I27" s="26"/>
      <c r="J27" s="26"/>
      <c r="K27" s="26"/>
      <c r="L27" s="29" t="s">
        <v>354</v>
      </c>
      <c r="M27" s="30"/>
    </row>
    <row r="28" spans="1:14" customFormat="1" ht="45" customHeight="1" x14ac:dyDescent="0.25">
      <c r="A28" s="26" t="s">
        <v>196</v>
      </c>
      <c r="B28" s="26">
        <v>1</v>
      </c>
      <c r="C28" s="27">
        <v>1</v>
      </c>
      <c r="D28" s="28" t="s">
        <v>238</v>
      </c>
      <c r="E28" s="28" t="s">
        <v>237</v>
      </c>
      <c r="F28" s="28" t="s">
        <v>254</v>
      </c>
      <c r="G28" s="28" t="s">
        <v>276</v>
      </c>
      <c r="H28" s="28" t="s">
        <v>357</v>
      </c>
      <c r="I28" s="26"/>
      <c r="J28" s="26"/>
      <c r="K28" s="26"/>
      <c r="L28" s="29" t="s">
        <v>354</v>
      </c>
      <c r="M28" s="30"/>
    </row>
    <row r="29" spans="1:14" customFormat="1" ht="45" customHeight="1" x14ac:dyDescent="0.25">
      <c r="A29" s="11" t="s">
        <v>188</v>
      </c>
      <c r="B29" s="11">
        <v>1</v>
      </c>
      <c r="C29" s="12">
        <v>1</v>
      </c>
      <c r="D29" s="10" t="s">
        <v>218</v>
      </c>
      <c r="E29" s="10" t="s">
        <v>239</v>
      </c>
      <c r="F29" s="10" t="s">
        <v>266</v>
      </c>
      <c r="G29" s="10" t="s">
        <v>278</v>
      </c>
      <c r="H29" s="10" t="s">
        <v>287</v>
      </c>
      <c r="I29" s="11">
        <v>262</v>
      </c>
      <c r="J29" s="11">
        <v>180</v>
      </c>
      <c r="K29" s="11">
        <v>150</v>
      </c>
      <c r="L29" s="15" t="s">
        <v>320</v>
      </c>
      <c r="M29" s="17" t="s">
        <v>316</v>
      </c>
    </row>
    <row r="30" spans="1:14" customFormat="1" ht="45" customHeight="1" x14ac:dyDescent="0.25">
      <c r="A30" s="26" t="s">
        <v>205</v>
      </c>
      <c r="B30" s="26">
        <v>1</v>
      </c>
      <c r="C30" s="27">
        <v>1</v>
      </c>
      <c r="D30" s="28" t="s">
        <v>218</v>
      </c>
      <c r="E30" s="28" t="s">
        <v>240</v>
      </c>
      <c r="F30" s="28" t="s">
        <v>280</v>
      </c>
      <c r="G30" s="28" t="s">
        <v>280</v>
      </c>
      <c r="H30" s="28" t="s">
        <v>280</v>
      </c>
      <c r="I30" s="26"/>
      <c r="J30" s="26"/>
      <c r="K30" s="26"/>
      <c r="L30" s="29" t="s">
        <v>354</v>
      </c>
      <c r="M30" s="30"/>
    </row>
    <row r="31" spans="1:14" customFormat="1" ht="45" customHeight="1" x14ac:dyDescent="0.25">
      <c r="A31" s="11" t="s">
        <v>156</v>
      </c>
      <c r="B31" s="11">
        <v>1</v>
      </c>
      <c r="C31" s="12">
        <v>1</v>
      </c>
      <c r="D31" s="10" t="s">
        <v>220</v>
      </c>
      <c r="E31" s="10" t="s">
        <v>232</v>
      </c>
      <c r="F31" s="10" t="s">
        <v>257</v>
      </c>
      <c r="G31" s="10" t="s">
        <v>260</v>
      </c>
      <c r="H31" s="10" t="s">
        <v>284</v>
      </c>
      <c r="I31" s="11">
        <v>185</v>
      </c>
      <c r="J31" s="11">
        <v>205</v>
      </c>
      <c r="K31" s="11">
        <v>100</v>
      </c>
      <c r="L31" s="15" t="s">
        <v>308</v>
      </c>
      <c r="M31" s="17" t="s">
        <v>315</v>
      </c>
    </row>
    <row r="32" spans="1:14" customFormat="1" ht="45" customHeight="1" x14ac:dyDescent="0.25">
      <c r="A32" s="11" t="s">
        <v>191</v>
      </c>
      <c r="B32" s="11">
        <v>1</v>
      </c>
      <c r="C32" s="12">
        <v>1</v>
      </c>
      <c r="D32" s="10" t="s">
        <v>218</v>
      </c>
      <c r="E32" s="10" t="s">
        <v>242</v>
      </c>
      <c r="F32" s="10" t="s">
        <v>254</v>
      </c>
      <c r="G32" s="10" t="s">
        <v>290</v>
      </c>
      <c r="H32" s="10" t="s">
        <v>291</v>
      </c>
      <c r="I32" s="11">
        <v>260</v>
      </c>
      <c r="J32" s="11">
        <v>250</v>
      </c>
      <c r="K32" s="11">
        <v>147</v>
      </c>
      <c r="L32" s="15" t="s">
        <v>312</v>
      </c>
      <c r="M32" s="17" t="s">
        <v>316</v>
      </c>
    </row>
    <row r="33" spans="1:13" customFormat="1" ht="45" customHeight="1" x14ac:dyDescent="0.25">
      <c r="A33" s="26" t="s">
        <v>197</v>
      </c>
      <c r="B33" s="26">
        <v>1</v>
      </c>
      <c r="C33" s="27">
        <v>1</v>
      </c>
      <c r="D33" s="28" t="s">
        <v>238</v>
      </c>
      <c r="E33" s="28" t="s">
        <v>221</v>
      </c>
      <c r="F33" s="28" t="s">
        <v>257</v>
      </c>
      <c r="G33" s="28" t="s">
        <v>358</v>
      </c>
      <c r="H33" s="28" t="s">
        <v>359</v>
      </c>
      <c r="I33" s="26"/>
      <c r="J33" s="26"/>
      <c r="K33" s="26"/>
      <c r="L33" s="29" t="s">
        <v>354</v>
      </c>
      <c r="M33" s="30"/>
    </row>
    <row r="34" spans="1:13" customFormat="1" ht="45" customHeight="1" x14ac:dyDescent="0.25">
      <c r="A34" s="26" t="s">
        <v>198</v>
      </c>
      <c r="B34" s="26">
        <v>1</v>
      </c>
      <c r="C34" s="27">
        <v>1</v>
      </c>
      <c r="D34" s="28" t="s">
        <v>220</v>
      </c>
      <c r="E34" s="28" t="s">
        <v>243</v>
      </c>
      <c r="F34" s="28" t="s">
        <v>280</v>
      </c>
      <c r="G34" s="28" t="s">
        <v>280</v>
      </c>
      <c r="H34" s="28" t="s">
        <v>280</v>
      </c>
      <c r="I34" s="26"/>
      <c r="J34" s="26"/>
      <c r="K34" s="26"/>
      <c r="L34" s="29" t="s">
        <v>354</v>
      </c>
      <c r="M34" s="30"/>
    </row>
    <row r="35" spans="1:13" customFormat="1" ht="45" customHeight="1" x14ac:dyDescent="0.25">
      <c r="A35" s="11" t="s">
        <v>183</v>
      </c>
      <c r="B35" s="11">
        <v>1</v>
      </c>
      <c r="C35" s="12">
        <v>1</v>
      </c>
      <c r="D35" s="10" t="s">
        <v>222</v>
      </c>
      <c r="E35" s="10" t="s">
        <v>244</v>
      </c>
      <c r="F35" s="10" t="s">
        <v>266</v>
      </c>
      <c r="G35" s="10" t="s">
        <v>278</v>
      </c>
      <c r="H35" s="10" t="s">
        <v>292</v>
      </c>
      <c r="I35" s="11">
        <v>327</v>
      </c>
      <c r="J35" s="11">
        <v>50</v>
      </c>
      <c r="K35" s="11">
        <v>30</v>
      </c>
      <c r="L35" s="15" t="s">
        <v>309</v>
      </c>
      <c r="M35" s="17" t="s">
        <v>318</v>
      </c>
    </row>
    <row r="36" spans="1:13" customFormat="1" ht="45" customHeight="1" x14ac:dyDescent="0.25">
      <c r="A36" s="11" t="s">
        <v>202</v>
      </c>
      <c r="B36" s="11">
        <v>1</v>
      </c>
      <c r="C36" s="12">
        <v>1</v>
      </c>
      <c r="D36" s="10" t="s">
        <v>218</v>
      </c>
      <c r="E36" s="10" t="s">
        <v>241</v>
      </c>
      <c r="F36" s="10" t="s">
        <v>257</v>
      </c>
      <c r="G36" s="10" t="s">
        <v>288</v>
      </c>
      <c r="H36" s="10" t="s">
        <v>289</v>
      </c>
      <c r="I36" s="11">
        <v>260</v>
      </c>
      <c r="J36" s="11">
        <v>270</v>
      </c>
      <c r="K36" s="11">
        <v>140</v>
      </c>
      <c r="L36" s="15" t="s">
        <v>312</v>
      </c>
      <c r="M36" s="17" t="s">
        <v>316</v>
      </c>
    </row>
    <row r="37" spans="1:13" customFormat="1" ht="45" customHeight="1" x14ac:dyDescent="0.25">
      <c r="A37" s="11" t="s">
        <v>136</v>
      </c>
      <c r="B37" s="11">
        <v>1</v>
      </c>
      <c r="C37" s="12">
        <v>1</v>
      </c>
      <c r="D37" s="10" t="s">
        <v>222</v>
      </c>
      <c r="E37" s="10" t="s">
        <v>245</v>
      </c>
      <c r="F37" s="10" t="s">
        <v>257</v>
      </c>
      <c r="G37" s="10" t="s">
        <v>260</v>
      </c>
      <c r="H37" s="10" t="s">
        <v>293</v>
      </c>
      <c r="I37" s="11">
        <v>350</v>
      </c>
      <c r="J37" s="11">
        <v>55</v>
      </c>
      <c r="K37" s="11">
        <v>30</v>
      </c>
      <c r="L37" s="15" t="s">
        <v>309</v>
      </c>
      <c r="M37" s="17" t="s">
        <v>318</v>
      </c>
    </row>
    <row r="38" spans="1:13" customFormat="1" ht="45" customHeight="1" x14ac:dyDescent="0.25">
      <c r="A38" s="26" t="s">
        <v>98</v>
      </c>
      <c r="B38" s="26">
        <v>1</v>
      </c>
      <c r="C38" s="27">
        <v>1</v>
      </c>
      <c r="D38" s="28" t="s">
        <v>214</v>
      </c>
      <c r="E38" s="28" t="s">
        <v>247</v>
      </c>
      <c r="F38" s="28" t="s">
        <v>257</v>
      </c>
      <c r="G38" s="28" t="s">
        <v>260</v>
      </c>
      <c r="H38" s="28" t="s">
        <v>360</v>
      </c>
      <c r="I38" s="26"/>
      <c r="J38" s="26"/>
      <c r="K38" s="26"/>
      <c r="L38" s="29" t="s">
        <v>354</v>
      </c>
      <c r="M38" s="30"/>
    </row>
    <row r="39" spans="1:13" customFormat="1" ht="45" customHeight="1" x14ac:dyDescent="0.25">
      <c r="A39" s="11" t="s">
        <v>144</v>
      </c>
      <c r="B39" s="11">
        <v>1</v>
      </c>
      <c r="C39" s="12">
        <v>1</v>
      </c>
      <c r="D39" s="10" t="s">
        <v>214</v>
      </c>
      <c r="E39" s="10" t="s">
        <v>248</v>
      </c>
      <c r="F39" s="10" t="s">
        <v>254</v>
      </c>
      <c r="G39" s="10" t="s">
        <v>295</v>
      </c>
      <c r="H39" s="10" t="s">
        <v>296</v>
      </c>
      <c r="I39" s="11">
        <v>90</v>
      </c>
      <c r="J39" s="11">
        <v>405</v>
      </c>
      <c r="K39" s="11">
        <v>66</v>
      </c>
      <c r="L39" s="15" t="s">
        <v>342</v>
      </c>
      <c r="M39" s="17" t="s">
        <v>351</v>
      </c>
    </row>
    <row r="40" spans="1:13" customFormat="1" ht="45" customHeight="1" x14ac:dyDescent="0.25">
      <c r="A40" s="11" t="s">
        <v>126</v>
      </c>
      <c r="B40" s="11">
        <v>1</v>
      </c>
      <c r="C40" s="12">
        <v>1</v>
      </c>
      <c r="D40" s="10" t="s">
        <v>214</v>
      </c>
      <c r="E40" s="10" t="s">
        <v>249</v>
      </c>
      <c r="F40" s="10" t="s">
        <v>254</v>
      </c>
      <c r="G40" s="10" t="s">
        <v>276</v>
      </c>
      <c r="H40" s="10" t="s">
        <v>297</v>
      </c>
      <c r="I40" s="11">
        <v>320</v>
      </c>
      <c r="J40" s="11">
        <v>290</v>
      </c>
      <c r="K40" s="11">
        <v>165</v>
      </c>
      <c r="L40" s="15" t="s">
        <v>343</v>
      </c>
      <c r="M40" s="17" t="s">
        <v>352</v>
      </c>
    </row>
    <row r="41" spans="1:13" customFormat="1" ht="45" customHeight="1" x14ac:dyDescent="0.25">
      <c r="A41" s="26" t="s">
        <v>193</v>
      </c>
      <c r="B41" s="26">
        <v>1</v>
      </c>
      <c r="C41" s="27">
        <v>1</v>
      </c>
      <c r="D41" s="28" t="s">
        <v>235</v>
      </c>
      <c r="E41" s="28" t="s">
        <v>216</v>
      </c>
      <c r="F41" s="28" t="s">
        <v>257</v>
      </c>
      <c r="G41" s="28" t="s">
        <v>269</v>
      </c>
      <c r="H41" s="28" t="s">
        <v>360</v>
      </c>
      <c r="I41" s="26"/>
      <c r="J41" s="26"/>
      <c r="K41" s="26"/>
      <c r="L41" s="29" t="s">
        <v>354</v>
      </c>
      <c r="M41" s="30"/>
    </row>
    <row r="42" spans="1:13" customFormat="1" ht="45" customHeight="1" x14ac:dyDescent="0.25">
      <c r="A42" s="11" t="s">
        <v>168</v>
      </c>
      <c r="B42" s="11">
        <v>1</v>
      </c>
      <c r="C42" s="12">
        <v>1</v>
      </c>
      <c r="D42" s="10" t="s">
        <v>235</v>
      </c>
      <c r="E42" s="10" t="s">
        <v>250</v>
      </c>
      <c r="F42" s="10" t="s">
        <v>254</v>
      </c>
      <c r="G42" s="10" t="s">
        <v>295</v>
      </c>
      <c r="H42" s="10" t="s">
        <v>298</v>
      </c>
      <c r="I42" s="11">
        <v>328</v>
      </c>
      <c r="J42" s="11">
        <v>65</v>
      </c>
      <c r="K42" s="11">
        <v>28</v>
      </c>
      <c r="L42" s="15" t="s">
        <v>309</v>
      </c>
      <c r="M42" s="17" t="s">
        <v>318</v>
      </c>
    </row>
    <row r="43" spans="1:13" customFormat="1" ht="45" customHeight="1" x14ac:dyDescent="0.25">
      <c r="A43" s="11" t="s">
        <v>361</v>
      </c>
      <c r="B43" s="11">
        <v>1</v>
      </c>
      <c r="C43" s="12">
        <v>1</v>
      </c>
      <c r="D43" s="10"/>
      <c r="E43" s="10" t="s">
        <v>362</v>
      </c>
      <c r="F43" s="10" t="s">
        <v>257</v>
      </c>
      <c r="G43" s="10" t="s">
        <v>257</v>
      </c>
      <c r="H43" s="10"/>
      <c r="I43" s="11">
        <v>283</v>
      </c>
      <c r="J43" s="11">
        <v>165</v>
      </c>
      <c r="K43" s="11">
        <v>130</v>
      </c>
      <c r="L43" s="15" t="s">
        <v>363</v>
      </c>
      <c r="M43" s="17"/>
    </row>
    <row r="44" spans="1:13" x14ac:dyDescent="0.25">
      <c r="L44" s="8"/>
    </row>
    <row r="45" spans="1:13" x14ac:dyDescent="0.25">
      <c r="L45" s="8"/>
    </row>
    <row r="46" spans="1:13" x14ac:dyDescent="0.25">
      <c r="L46" s="8"/>
    </row>
    <row r="47" spans="1:13" x14ac:dyDescent="0.25">
      <c r="C47" s="7"/>
      <c r="L47" s="8"/>
    </row>
    <row r="48" spans="1:13" x14ac:dyDescent="0.25">
      <c r="C48" s="7"/>
      <c r="L48" s="8"/>
    </row>
    <row r="49" spans="3:12" x14ac:dyDescent="0.25">
      <c r="C49" s="7"/>
      <c r="L49" s="8"/>
    </row>
    <row r="50" spans="3:12" x14ac:dyDescent="0.25">
      <c r="C50" s="7"/>
      <c r="L50" s="8"/>
    </row>
    <row r="51" spans="3:12" x14ac:dyDescent="0.25">
      <c r="C51" s="7"/>
      <c r="L51" s="8"/>
    </row>
    <row r="52" spans="3:12" x14ac:dyDescent="0.25">
      <c r="C52" s="7"/>
    </row>
    <row r="53" spans="3:12" x14ac:dyDescent="0.25">
      <c r="C53" s="7"/>
    </row>
    <row r="54" spans="3:12" x14ac:dyDescent="0.25">
      <c r="C54" s="7"/>
    </row>
    <row r="55" spans="3:12" x14ac:dyDescent="0.25">
      <c r="C55" s="7"/>
    </row>
    <row r="56" spans="3:12" x14ac:dyDescent="0.25">
      <c r="C56" s="7"/>
    </row>
    <row r="57" spans="3:12" x14ac:dyDescent="0.25">
      <c r="C57" s="7"/>
    </row>
    <row r="58" spans="3:12" x14ac:dyDescent="0.25">
      <c r="C58" s="7"/>
    </row>
    <row r="59" spans="3:12" x14ac:dyDescent="0.25">
      <c r="C59" s="7"/>
    </row>
    <row r="60" spans="3:12" x14ac:dyDescent="0.25">
      <c r="C60" s="7"/>
    </row>
    <row r="61" spans="3:12" x14ac:dyDescent="0.25">
      <c r="C61" s="7"/>
    </row>
    <row r="62" spans="3:12" x14ac:dyDescent="0.25">
      <c r="C62" s="7"/>
    </row>
    <row r="63" spans="3:12" x14ac:dyDescent="0.25">
      <c r="C63" s="7"/>
    </row>
    <row r="64" spans="3:12" x14ac:dyDescent="0.25">
      <c r="C64" s="7"/>
    </row>
    <row r="65" spans="3:3" x14ac:dyDescent="0.25">
      <c r="C65" s="7"/>
    </row>
    <row r="66" spans="3:3" x14ac:dyDescent="0.25">
      <c r="C66" s="7"/>
    </row>
    <row r="67" spans="3:3" x14ac:dyDescent="0.25">
      <c r="C67" s="7"/>
    </row>
    <row r="68" spans="3:3" x14ac:dyDescent="0.25">
      <c r="C68" s="7"/>
    </row>
    <row r="69" spans="3:3" x14ac:dyDescent="0.25">
      <c r="C69" s="7"/>
    </row>
    <row r="70" spans="3:3" x14ac:dyDescent="0.25">
      <c r="C70" s="7"/>
    </row>
    <row r="71" spans="3:3" x14ac:dyDescent="0.25">
      <c r="C71" s="7"/>
    </row>
    <row r="72" spans="3:3" x14ac:dyDescent="0.25">
      <c r="C72" s="7"/>
    </row>
    <row r="73" spans="3:3" x14ac:dyDescent="0.25">
      <c r="C73" s="7"/>
    </row>
    <row r="74" spans="3:3" x14ac:dyDescent="0.25">
      <c r="C74" s="7"/>
    </row>
    <row r="75" spans="3:3" x14ac:dyDescent="0.25">
      <c r="C75" s="7"/>
    </row>
    <row r="76" spans="3:3" x14ac:dyDescent="0.25">
      <c r="C76" s="7"/>
    </row>
    <row r="77" spans="3:3" x14ac:dyDescent="0.25">
      <c r="C77" s="7"/>
    </row>
    <row r="78" spans="3:3" x14ac:dyDescent="0.25">
      <c r="C78" s="7"/>
    </row>
    <row r="79" spans="3:3" x14ac:dyDescent="0.25">
      <c r="C79" s="7"/>
    </row>
    <row r="80" spans="3:3" x14ac:dyDescent="0.25">
      <c r="C80" s="7"/>
    </row>
    <row r="81" spans="3:3" x14ac:dyDescent="0.25">
      <c r="C81" s="7"/>
    </row>
    <row r="82" spans="3:3" x14ac:dyDescent="0.25">
      <c r="C82" s="7"/>
    </row>
    <row r="83" spans="3:3" x14ac:dyDescent="0.25">
      <c r="C83" s="7"/>
    </row>
    <row r="84" spans="3:3" x14ac:dyDescent="0.25">
      <c r="C84" s="7"/>
    </row>
    <row r="85" spans="3:3" x14ac:dyDescent="0.25">
      <c r="C85" s="7"/>
    </row>
    <row r="86" spans="3:3" x14ac:dyDescent="0.25">
      <c r="C86" s="7"/>
    </row>
    <row r="87" spans="3:3" x14ac:dyDescent="0.25">
      <c r="C87" s="7"/>
    </row>
    <row r="88" spans="3:3" x14ac:dyDescent="0.25">
      <c r="C88" s="7"/>
    </row>
    <row r="89" spans="3:3" x14ac:dyDescent="0.25">
      <c r="C89" s="7"/>
    </row>
    <row r="90" spans="3:3" x14ac:dyDescent="0.25">
      <c r="C90" s="7"/>
    </row>
    <row r="91" spans="3:3" x14ac:dyDescent="0.25">
      <c r="C91" s="7"/>
    </row>
    <row r="92" spans="3:3" x14ac:dyDescent="0.25">
      <c r="C92" s="7"/>
    </row>
    <row r="93" spans="3:3" x14ac:dyDescent="0.25">
      <c r="C93" s="7"/>
    </row>
    <row r="94" spans="3:3" x14ac:dyDescent="0.25">
      <c r="C94" s="7"/>
    </row>
    <row r="95" spans="3:3" x14ac:dyDescent="0.25">
      <c r="C95" s="7"/>
    </row>
    <row r="96" spans="3:3" x14ac:dyDescent="0.25">
      <c r="C96" s="7"/>
    </row>
    <row r="97" spans="3:3" x14ac:dyDescent="0.25">
      <c r="C97" s="7"/>
    </row>
    <row r="98" spans="3:3" x14ac:dyDescent="0.25">
      <c r="C98" s="7"/>
    </row>
    <row r="99" spans="3:3" x14ac:dyDescent="0.25">
      <c r="C99" s="7"/>
    </row>
    <row r="100" spans="3:3" x14ac:dyDescent="0.25">
      <c r="C100" s="7"/>
    </row>
    <row r="101" spans="3:3" x14ac:dyDescent="0.25">
      <c r="C101" s="7"/>
    </row>
    <row r="102" spans="3:3" x14ac:dyDescent="0.25">
      <c r="C102" s="7"/>
    </row>
    <row r="103" spans="3:3" x14ac:dyDescent="0.25">
      <c r="C103" s="7"/>
    </row>
    <row r="104" spans="3:3" x14ac:dyDescent="0.25">
      <c r="C104" s="7"/>
    </row>
    <row r="105" spans="3:3" x14ac:dyDescent="0.25">
      <c r="C105" s="7"/>
    </row>
    <row r="106" spans="3:3" x14ac:dyDescent="0.25">
      <c r="C106" s="7"/>
    </row>
    <row r="107" spans="3:3" x14ac:dyDescent="0.25">
      <c r="C107" s="7"/>
    </row>
    <row r="108" spans="3:3" x14ac:dyDescent="0.25">
      <c r="C108" s="7"/>
    </row>
    <row r="109" spans="3:3" x14ac:dyDescent="0.25">
      <c r="C109" s="7"/>
    </row>
    <row r="110" spans="3:3" x14ac:dyDescent="0.25">
      <c r="C110" s="7"/>
    </row>
    <row r="111" spans="3:3" x14ac:dyDescent="0.25">
      <c r="C111" s="7"/>
    </row>
    <row r="112" spans="3:3" x14ac:dyDescent="0.25">
      <c r="C112" s="7"/>
    </row>
    <row r="113" spans="3:3" x14ac:dyDescent="0.25">
      <c r="C113" s="7"/>
    </row>
    <row r="114" spans="3:3" x14ac:dyDescent="0.25">
      <c r="C114" s="7"/>
    </row>
    <row r="115" spans="3:3" x14ac:dyDescent="0.25">
      <c r="C115" s="7"/>
    </row>
    <row r="116" spans="3:3" x14ac:dyDescent="0.25">
      <c r="C116" s="7"/>
    </row>
    <row r="117" spans="3:3" x14ac:dyDescent="0.25">
      <c r="C117" s="7"/>
    </row>
    <row r="118" spans="3:3" x14ac:dyDescent="0.25">
      <c r="C118" s="7"/>
    </row>
    <row r="119" spans="3:3" x14ac:dyDescent="0.25">
      <c r="C119" s="7"/>
    </row>
    <row r="120" spans="3:3" x14ac:dyDescent="0.25">
      <c r="C120" s="7"/>
    </row>
    <row r="121" spans="3:3" x14ac:dyDescent="0.25">
      <c r="C121" s="7"/>
    </row>
    <row r="122" spans="3:3" x14ac:dyDescent="0.25">
      <c r="C122" s="7"/>
    </row>
    <row r="123" spans="3:3" x14ac:dyDescent="0.25">
      <c r="C123" s="7"/>
    </row>
    <row r="124" spans="3:3" x14ac:dyDescent="0.25">
      <c r="C124" s="7"/>
    </row>
    <row r="125" spans="3:3" x14ac:dyDescent="0.25">
      <c r="C125" s="7"/>
    </row>
    <row r="126" spans="3:3" x14ac:dyDescent="0.25">
      <c r="C126" s="7"/>
    </row>
    <row r="127" spans="3:3" x14ac:dyDescent="0.25">
      <c r="C127" s="7"/>
    </row>
    <row r="128" spans="3:3" x14ac:dyDescent="0.25">
      <c r="C128" s="7"/>
    </row>
    <row r="129" spans="3:3" x14ac:dyDescent="0.25">
      <c r="C129" s="7"/>
    </row>
    <row r="130" spans="3:3" x14ac:dyDescent="0.25">
      <c r="C130" s="7"/>
    </row>
    <row r="131" spans="3:3" x14ac:dyDescent="0.25">
      <c r="C131" s="7"/>
    </row>
    <row r="132" spans="3:3" x14ac:dyDescent="0.25">
      <c r="C132" s="7"/>
    </row>
    <row r="133" spans="3:3" x14ac:dyDescent="0.25">
      <c r="C133" s="7"/>
    </row>
    <row r="134" spans="3:3" x14ac:dyDescent="0.25">
      <c r="C134" s="7"/>
    </row>
    <row r="135" spans="3:3" x14ac:dyDescent="0.25">
      <c r="C135" s="7"/>
    </row>
    <row r="136" spans="3:3" x14ac:dyDescent="0.25">
      <c r="C136" s="7"/>
    </row>
    <row r="137" spans="3:3" x14ac:dyDescent="0.25">
      <c r="C137" s="7"/>
    </row>
    <row r="138" spans="3:3" x14ac:dyDescent="0.25">
      <c r="C138" s="7"/>
    </row>
    <row r="139" spans="3:3" x14ac:dyDescent="0.25">
      <c r="C139" s="7"/>
    </row>
    <row r="140" spans="3:3" x14ac:dyDescent="0.25">
      <c r="C140" s="7"/>
    </row>
    <row r="141" spans="3:3" x14ac:dyDescent="0.25">
      <c r="C141" s="7"/>
    </row>
    <row r="142" spans="3:3" x14ac:dyDescent="0.25">
      <c r="C142" s="7"/>
    </row>
    <row r="143" spans="3:3" x14ac:dyDescent="0.25">
      <c r="C143" s="7"/>
    </row>
    <row r="144" spans="3:3" x14ac:dyDescent="0.25">
      <c r="C144" s="7"/>
    </row>
    <row r="145" spans="3:3" x14ac:dyDescent="0.25">
      <c r="C145" s="7"/>
    </row>
    <row r="146" spans="3:3" x14ac:dyDescent="0.25">
      <c r="C146" s="7"/>
    </row>
    <row r="147" spans="3:3" x14ac:dyDescent="0.25">
      <c r="C147" s="7"/>
    </row>
    <row r="148" spans="3:3" x14ac:dyDescent="0.25">
      <c r="C148" s="7"/>
    </row>
    <row r="149" spans="3:3" x14ac:dyDescent="0.25">
      <c r="C149" s="7"/>
    </row>
    <row r="150" spans="3:3" x14ac:dyDescent="0.25">
      <c r="C150" s="7"/>
    </row>
    <row r="151" spans="3:3" x14ac:dyDescent="0.25">
      <c r="C151" s="7"/>
    </row>
    <row r="152" spans="3:3" x14ac:dyDescent="0.25">
      <c r="C152" s="7"/>
    </row>
    <row r="153" spans="3:3" x14ac:dyDescent="0.25">
      <c r="C153" s="7"/>
    </row>
    <row r="154" spans="3:3" x14ac:dyDescent="0.25">
      <c r="C154" s="7"/>
    </row>
    <row r="155" spans="3:3" x14ac:dyDescent="0.25">
      <c r="C155" s="7"/>
    </row>
    <row r="156" spans="3:3" x14ac:dyDescent="0.25">
      <c r="C156" s="7"/>
    </row>
    <row r="157" spans="3:3" x14ac:dyDescent="0.25">
      <c r="C157" s="7"/>
    </row>
    <row r="158" spans="3:3" x14ac:dyDescent="0.25">
      <c r="C158" s="7"/>
    </row>
    <row r="159" spans="3:3" x14ac:dyDescent="0.25">
      <c r="C159" s="7"/>
    </row>
    <row r="160" spans="3:3" x14ac:dyDescent="0.25">
      <c r="C160" s="7"/>
    </row>
    <row r="161" spans="3:3" x14ac:dyDescent="0.25">
      <c r="C161" s="7"/>
    </row>
    <row r="162" spans="3:3" x14ac:dyDescent="0.25">
      <c r="C162" s="7"/>
    </row>
    <row r="163" spans="3:3" x14ac:dyDescent="0.25">
      <c r="C163" s="7"/>
    </row>
    <row r="164" spans="3:3" x14ac:dyDescent="0.25">
      <c r="C164" s="7"/>
    </row>
    <row r="165" spans="3:3" x14ac:dyDescent="0.25">
      <c r="C165" s="7"/>
    </row>
    <row r="166" spans="3:3" x14ac:dyDescent="0.25">
      <c r="C166" s="7"/>
    </row>
    <row r="167" spans="3:3" x14ac:dyDescent="0.25">
      <c r="C167" s="7"/>
    </row>
    <row r="168" spans="3:3" x14ac:dyDescent="0.25">
      <c r="C168" s="7"/>
    </row>
    <row r="169" spans="3:3" x14ac:dyDescent="0.25">
      <c r="C169" s="7"/>
    </row>
    <row r="170" spans="3:3" x14ac:dyDescent="0.25">
      <c r="C170" s="7"/>
    </row>
    <row r="171" spans="3:3" x14ac:dyDescent="0.25">
      <c r="C171" s="7"/>
    </row>
    <row r="172" spans="3:3" x14ac:dyDescent="0.25">
      <c r="C172" s="7"/>
    </row>
    <row r="173" spans="3:3" x14ac:dyDescent="0.25">
      <c r="C173" s="7"/>
    </row>
    <row r="174" spans="3:3" x14ac:dyDescent="0.25">
      <c r="C174" s="7"/>
    </row>
    <row r="175" spans="3:3" x14ac:dyDescent="0.25">
      <c r="C175" s="7"/>
    </row>
    <row r="176" spans="3:3" x14ac:dyDescent="0.25">
      <c r="C176" s="7"/>
    </row>
    <row r="177" spans="3:3" x14ac:dyDescent="0.25">
      <c r="C177" s="7"/>
    </row>
    <row r="178" spans="3:3" x14ac:dyDescent="0.25">
      <c r="C178" s="7"/>
    </row>
    <row r="179" spans="3:3" x14ac:dyDescent="0.25">
      <c r="C179" s="7"/>
    </row>
    <row r="180" spans="3:3" x14ac:dyDescent="0.25">
      <c r="C180" s="7"/>
    </row>
    <row r="181" spans="3:3" x14ac:dyDescent="0.25">
      <c r="C181" s="7"/>
    </row>
    <row r="182" spans="3:3" x14ac:dyDescent="0.25">
      <c r="C182" s="7"/>
    </row>
    <row r="183" spans="3:3" x14ac:dyDescent="0.25">
      <c r="C183" s="7"/>
    </row>
    <row r="184" spans="3:3" x14ac:dyDescent="0.25">
      <c r="C184" s="7"/>
    </row>
    <row r="185" spans="3:3" x14ac:dyDescent="0.25">
      <c r="C185" s="7"/>
    </row>
    <row r="186" spans="3:3" x14ac:dyDescent="0.25">
      <c r="C186" s="7"/>
    </row>
    <row r="187" spans="3:3" x14ac:dyDescent="0.25">
      <c r="C187" s="7"/>
    </row>
    <row r="188" spans="3:3" x14ac:dyDescent="0.25">
      <c r="C188" s="7"/>
    </row>
    <row r="189" spans="3:3" x14ac:dyDescent="0.25">
      <c r="C189" s="7"/>
    </row>
    <row r="190" spans="3:3" x14ac:dyDescent="0.25">
      <c r="C190" s="7"/>
    </row>
    <row r="191" spans="3:3" x14ac:dyDescent="0.25">
      <c r="C191" s="7"/>
    </row>
    <row r="192" spans="3:3" x14ac:dyDescent="0.25">
      <c r="C192" s="7"/>
    </row>
    <row r="193" spans="3:3" x14ac:dyDescent="0.25">
      <c r="C193" s="7"/>
    </row>
    <row r="194" spans="3:3" x14ac:dyDescent="0.25">
      <c r="C194" s="7"/>
    </row>
    <row r="195" spans="3:3" x14ac:dyDescent="0.25">
      <c r="C195" s="7"/>
    </row>
    <row r="196" spans="3:3" x14ac:dyDescent="0.25">
      <c r="C196" s="7"/>
    </row>
    <row r="197" spans="3:3" x14ac:dyDescent="0.25">
      <c r="C197" s="7"/>
    </row>
    <row r="198" spans="3:3" x14ac:dyDescent="0.25">
      <c r="C198" s="7"/>
    </row>
    <row r="199" spans="3:3" x14ac:dyDescent="0.25">
      <c r="C199" s="7"/>
    </row>
    <row r="200" spans="3:3" x14ac:dyDescent="0.25">
      <c r="C200" s="7"/>
    </row>
    <row r="201" spans="3:3" x14ac:dyDescent="0.25">
      <c r="C201" s="7"/>
    </row>
    <row r="202" spans="3:3" x14ac:dyDescent="0.25">
      <c r="C202" s="7"/>
    </row>
    <row r="203" spans="3:3" x14ac:dyDescent="0.25">
      <c r="C203" s="7"/>
    </row>
    <row r="204" spans="3:3" x14ac:dyDescent="0.25">
      <c r="C204" s="7"/>
    </row>
    <row r="205" spans="3:3" x14ac:dyDescent="0.25">
      <c r="C205" s="7"/>
    </row>
    <row r="206" spans="3:3" x14ac:dyDescent="0.25">
      <c r="C206" s="7"/>
    </row>
    <row r="207" spans="3:3" x14ac:dyDescent="0.25">
      <c r="C207" s="7"/>
    </row>
    <row r="208" spans="3:3" x14ac:dyDescent="0.25">
      <c r="C208" s="7"/>
    </row>
    <row r="209" spans="3:3" x14ac:dyDescent="0.25">
      <c r="C209" s="7"/>
    </row>
    <row r="210" spans="3:3" x14ac:dyDescent="0.25">
      <c r="C210" s="7"/>
    </row>
    <row r="211" spans="3:3" x14ac:dyDescent="0.25">
      <c r="C211" s="7"/>
    </row>
    <row r="212" spans="3:3" x14ac:dyDescent="0.25">
      <c r="C212" s="7"/>
    </row>
    <row r="213" spans="3:3" x14ac:dyDescent="0.25">
      <c r="C213" s="7"/>
    </row>
    <row r="214" spans="3:3" x14ac:dyDescent="0.25">
      <c r="C214" s="7"/>
    </row>
    <row r="215" spans="3:3" x14ac:dyDescent="0.25">
      <c r="C215" s="7"/>
    </row>
    <row r="216" spans="3:3" x14ac:dyDescent="0.25">
      <c r="C216" s="7"/>
    </row>
    <row r="217" spans="3:3" x14ac:dyDescent="0.25">
      <c r="C217" s="7"/>
    </row>
    <row r="218" spans="3:3" x14ac:dyDescent="0.25">
      <c r="C218" s="7"/>
    </row>
    <row r="219" spans="3:3" x14ac:dyDescent="0.25">
      <c r="C219" s="7"/>
    </row>
    <row r="220" spans="3:3" x14ac:dyDescent="0.25">
      <c r="C220" s="7"/>
    </row>
    <row r="221" spans="3:3" x14ac:dyDescent="0.25">
      <c r="C221" s="7"/>
    </row>
    <row r="222" spans="3:3" x14ac:dyDescent="0.25">
      <c r="C222" s="7"/>
    </row>
    <row r="223" spans="3:3" x14ac:dyDescent="0.25">
      <c r="C223" s="7"/>
    </row>
    <row r="224" spans="3:3" x14ac:dyDescent="0.25">
      <c r="C224" s="7"/>
    </row>
    <row r="225" spans="3:3" x14ac:dyDescent="0.25">
      <c r="C225" s="7"/>
    </row>
    <row r="226" spans="3:3" x14ac:dyDescent="0.25">
      <c r="C226" s="7"/>
    </row>
    <row r="227" spans="3:3" x14ac:dyDescent="0.25">
      <c r="C227" s="7"/>
    </row>
    <row r="228" spans="3:3" x14ac:dyDescent="0.25">
      <c r="C228" s="7"/>
    </row>
    <row r="229" spans="3:3" x14ac:dyDescent="0.25">
      <c r="C229" s="7"/>
    </row>
    <row r="230" spans="3:3" x14ac:dyDescent="0.25">
      <c r="C230" s="7"/>
    </row>
    <row r="231" spans="3:3" x14ac:dyDescent="0.25">
      <c r="C231" s="7"/>
    </row>
    <row r="232" spans="3:3" x14ac:dyDescent="0.25">
      <c r="C232" s="7"/>
    </row>
    <row r="233" spans="3:3" x14ac:dyDescent="0.25">
      <c r="C233" s="7"/>
    </row>
    <row r="234" spans="3:3" x14ac:dyDescent="0.25">
      <c r="C234" s="7"/>
    </row>
    <row r="235" spans="3:3" x14ac:dyDescent="0.25">
      <c r="C235" s="7"/>
    </row>
    <row r="236" spans="3:3" x14ac:dyDescent="0.25">
      <c r="C236" s="7"/>
    </row>
    <row r="237" spans="3:3" x14ac:dyDescent="0.25">
      <c r="C237" s="7"/>
    </row>
    <row r="238" spans="3:3" x14ac:dyDescent="0.25">
      <c r="C238" s="7"/>
    </row>
    <row r="239" spans="3:3" x14ac:dyDescent="0.25">
      <c r="C239" s="7"/>
    </row>
    <row r="240" spans="3:3" x14ac:dyDescent="0.25">
      <c r="C240" s="7"/>
    </row>
    <row r="241" spans="3:3" x14ac:dyDescent="0.25">
      <c r="C241" s="7"/>
    </row>
    <row r="242" spans="3:3" x14ac:dyDescent="0.25">
      <c r="C242" s="7"/>
    </row>
    <row r="243" spans="3:3" x14ac:dyDescent="0.25">
      <c r="C243" s="7"/>
    </row>
    <row r="244" spans="3:3" x14ac:dyDescent="0.25">
      <c r="C244" s="7"/>
    </row>
    <row r="245" spans="3:3" x14ac:dyDescent="0.25">
      <c r="C245" s="7"/>
    </row>
    <row r="246" spans="3:3" x14ac:dyDescent="0.25">
      <c r="C246" s="7"/>
    </row>
    <row r="247" spans="3:3" x14ac:dyDescent="0.25">
      <c r="C247" s="7"/>
    </row>
    <row r="248" spans="3:3" x14ac:dyDescent="0.25">
      <c r="C248" s="7"/>
    </row>
    <row r="249" spans="3:3" x14ac:dyDescent="0.25">
      <c r="C249" s="7"/>
    </row>
    <row r="250" spans="3:3" x14ac:dyDescent="0.25">
      <c r="C250" s="7"/>
    </row>
    <row r="251" spans="3:3" x14ac:dyDescent="0.25">
      <c r="C251" s="7"/>
    </row>
    <row r="252" spans="3:3" x14ac:dyDescent="0.25">
      <c r="C252" s="7"/>
    </row>
    <row r="253" spans="3:3" x14ac:dyDescent="0.25">
      <c r="C253" s="7"/>
    </row>
    <row r="254" spans="3:3" x14ac:dyDescent="0.25">
      <c r="C254" s="7"/>
    </row>
    <row r="255" spans="3:3" x14ac:dyDescent="0.25">
      <c r="C255" s="7"/>
    </row>
    <row r="256" spans="3:3" x14ac:dyDescent="0.25">
      <c r="C256" s="7"/>
    </row>
    <row r="257" spans="3:3" x14ac:dyDescent="0.25">
      <c r="C257" s="7"/>
    </row>
    <row r="258" spans="3:3" x14ac:dyDescent="0.25">
      <c r="C258" s="7"/>
    </row>
    <row r="259" spans="3:3" x14ac:dyDescent="0.25">
      <c r="C259" s="7"/>
    </row>
    <row r="260" spans="3:3" x14ac:dyDescent="0.25">
      <c r="C260" s="7"/>
    </row>
    <row r="261" spans="3:3" x14ac:dyDescent="0.25">
      <c r="C261" s="7"/>
    </row>
    <row r="262" spans="3:3" x14ac:dyDescent="0.25">
      <c r="C262" s="7"/>
    </row>
    <row r="263" spans="3:3" x14ac:dyDescent="0.25">
      <c r="C263" s="7"/>
    </row>
    <row r="264" spans="3:3" x14ac:dyDescent="0.25">
      <c r="C264" s="7"/>
    </row>
    <row r="265" spans="3:3" x14ac:dyDescent="0.25">
      <c r="C265" s="7"/>
    </row>
    <row r="266" spans="3:3" x14ac:dyDescent="0.25">
      <c r="C266" s="7"/>
    </row>
    <row r="267" spans="3:3" x14ac:dyDescent="0.25">
      <c r="C267" s="7"/>
    </row>
    <row r="268" spans="3:3" x14ac:dyDescent="0.25">
      <c r="C268" s="7"/>
    </row>
    <row r="269" spans="3:3" x14ac:dyDescent="0.25">
      <c r="C269" s="7"/>
    </row>
    <row r="270" spans="3:3" x14ac:dyDescent="0.25">
      <c r="C270" s="7"/>
    </row>
    <row r="271" spans="3:3" x14ac:dyDescent="0.25">
      <c r="C271" s="7"/>
    </row>
    <row r="272" spans="3:3" x14ac:dyDescent="0.25">
      <c r="C272" s="7"/>
    </row>
    <row r="273" spans="3:3" x14ac:dyDescent="0.25">
      <c r="C273" s="7"/>
    </row>
    <row r="274" spans="3:3" x14ac:dyDescent="0.25">
      <c r="C274" s="7"/>
    </row>
    <row r="275" spans="3:3" x14ac:dyDescent="0.25">
      <c r="C275" s="7"/>
    </row>
    <row r="276" spans="3:3" x14ac:dyDescent="0.25">
      <c r="C276" s="7"/>
    </row>
    <row r="277" spans="3:3" x14ac:dyDescent="0.25">
      <c r="C277" s="7"/>
    </row>
    <row r="278" spans="3:3" x14ac:dyDescent="0.25">
      <c r="C278" s="7"/>
    </row>
    <row r="279" spans="3:3" x14ac:dyDescent="0.25">
      <c r="C279" s="7"/>
    </row>
    <row r="280" spans="3:3" x14ac:dyDescent="0.25">
      <c r="C280" s="7"/>
    </row>
    <row r="281" spans="3:3" x14ac:dyDescent="0.25">
      <c r="C281" s="7"/>
    </row>
    <row r="282" spans="3:3" x14ac:dyDescent="0.25">
      <c r="C282" s="7"/>
    </row>
    <row r="283" spans="3:3" x14ac:dyDescent="0.25">
      <c r="C283" s="7"/>
    </row>
    <row r="284" spans="3:3" x14ac:dyDescent="0.25">
      <c r="C284" s="7"/>
    </row>
    <row r="285" spans="3:3" x14ac:dyDescent="0.25">
      <c r="C285" s="7"/>
    </row>
    <row r="286" spans="3:3" x14ac:dyDescent="0.25">
      <c r="C286" s="7"/>
    </row>
    <row r="287" spans="3:3" x14ac:dyDescent="0.25">
      <c r="C287" s="7"/>
    </row>
    <row r="288" spans="3:3" x14ac:dyDescent="0.25">
      <c r="C288" s="7"/>
    </row>
    <row r="289" spans="3:3" x14ac:dyDescent="0.25">
      <c r="C289" s="7"/>
    </row>
    <row r="290" spans="3:3" x14ac:dyDescent="0.25">
      <c r="C290" s="7"/>
    </row>
    <row r="291" spans="3:3" x14ac:dyDescent="0.25">
      <c r="C291" s="7"/>
    </row>
    <row r="292" spans="3:3" x14ac:dyDescent="0.25">
      <c r="C292" s="7"/>
    </row>
    <row r="293" spans="3:3" x14ac:dyDescent="0.25">
      <c r="C293" s="7"/>
    </row>
    <row r="294" spans="3:3" x14ac:dyDescent="0.25">
      <c r="C294" s="7"/>
    </row>
    <row r="295" spans="3:3" x14ac:dyDescent="0.25">
      <c r="C295" s="7"/>
    </row>
    <row r="296" spans="3:3" x14ac:dyDescent="0.25">
      <c r="C296" s="7"/>
    </row>
    <row r="297" spans="3:3" x14ac:dyDescent="0.25">
      <c r="C297" s="7"/>
    </row>
    <row r="298" spans="3:3" x14ac:dyDescent="0.25">
      <c r="C298" s="7"/>
    </row>
    <row r="299" spans="3:3" x14ac:dyDescent="0.25">
      <c r="C299" s="7"/>
    </row>
    <row r="300" spans="3:3" x14ac:dyDescent="0.25">
      <c r="C300" s="7"/>
    </row>
    <row r="301" spans="3:3" x14ac:dyDescent="0.25">
      <c r="C301" s="7"/>
    </row>
    <row r="302" spans="3:3" x14ac:dyDescent="0.25">
      <c r="C302" s="7"/>
    </row>
    <row r="303" spans="3:3" x14ac:dyDescent="0.25">
      <c r="C303" s="7"/>
    </row>
    <row r="304" spans="3:3" x14ac:dyDescent="0.25">
      <c r="C304" s="7"/>
    </row>
    <row r="305" spans="3:3" x14ac:dyDescent="0.25">
      <c r="C305" s="7"/>
    </row>
    <row r="306" spans="3:3" x14ac:dyDescent="0.25">
      <c r="C306" s="7"/>
    </row>
    <row r="307" spans="3:3" x14ac:dyDescent="0.25">
      <c r="C307" s="7"/>
    </row>
    <row r="308" spans="3:3" x14ac:dyDescent="0.25">
      <c r="C308" s="7"/>
    </row>
    <row r="309" spans="3:3" x14ac:dyDescent="0.25">
      <c r="C309" s="7"/>
    </row>
    <row r="310" spans="3:3" x14ac:dyDescent="0.25">
      <c r="C310" s="7"/>
    </row>
    <row r="311" spans="3:3" x14ac:dyDescent="0.25">
      <c r="C311" s="7"/>
    </row>
    <row r="312" spans="3:3" x14ac:dyDescent="0.25">
      <c r="C312" s="7"/>
    </row>
    <row r="313" spans="3:3" x14ac:dyDescent="0.25">
      <c r="C313" s="7"/>
    </row>
    <row r="314" spans="3:3" x14ac:dyDescent="0.25">
      <c r="C314" s="7"/>
    </row>
    <row r="315" spans="3:3" x14ac:dyDescent="0.25">
      <c r="C315" s="7"/>
    </row>
    <row r="316" spans="3:3" x14ac:dyDescent="0.25">
      <c r="C316" s="7"/>
    </row>
    <row r="317" spans="3:3" x14ac:dyDescent="0.25">
      <c r="C317" s="7"/>
    </row>
    <row r="318" spans="3:3" x14ac:dyDescent="0.25">
      <c r="C318" s="7"/>
    </row>
    <row r="319" spans="3:3" x14ac:dyDescent="0.25">
      <c r="C319" s="7"/>
    </row>
    <row r="320" spans="3:3" x14ac:dyDescent="0.25">
      <c r="C320" s="7"/>
    </row>
    <row r="321" spans="3:3" x14ac:dyDescent="0.25">
      <c r="C321" s="7"/>
    </row>
    <row r="322" spans="3:3" x14ac:dyDescent="0.25">
      <c r="C322" s="7"/>
    </row>
    <row r="323" spans="3:3" x14ac:dyDescent="0.25">
      <c r="C323" s="7"/>
    </row>
    <row r="324" spans="3:3" x14ac:dyDescent="0.25">
      <c r="C324" s="7"/>
    </row>
    <row r="325" spans="3:3" x14ac:dyDescent="0.25">
      <c r="C325" s="7"/>
    </row>
    <row r="326" spans="3:3" x14ac:dyDescent="0.25">
      <c r="C326" s="7"/>
    </row>
    <row r="327" spans="3:3" x14ac:dyDescent="0.25">
      <c r="C327" s="7"/>
    </row>
    <row r="328" spans="3:3" x14ac:dyDescent="0.25">
      <c r="C328" s="7"/>
    </row>
    <row r="329" spans="3:3" x14ac:dyDescent="0.25">
      <c r="C329" s="7"/>
    </row>
    <row r="330" spans="3:3" x14ac:dyDescent="0.25">
      <c r="C330" s="7"/>
    </row>
    <row r="331" spans="3:3" x14ac:dyDescent="0.25">
      <c r="C331" s="7"/>
    </row>
    <row r="332" spans="3:3" x14ac:dyDescent="0.25">
      <c r="C332" s="7"/>
    </row>
    <row r="333" spans="3:3" x14ac:dyDescent="0.25">
      <c r="C333" s="7"/>
    </row>
    <row r="334" spans="3:3" x14ac:dyDescent="0.25">
      <c r="C334" s="7"/>
    </row>
    <row r="335" spans="3:3" x14ac:dyDescent="0.25">
      <c r="C335" s="7"/>
    </row>
    <row r="336" spans="3:3" x14ac:dyDescent="0.25">
      <c r="C336" s="7"/>
    </row>
    <row r="337" spans="3:3" x14ac:dyDescent="0.25">
      <c r="C337" s="7"/>
    </row>
    <row r="338" spans="3:3" x14ac:dyDescent="0.25">
      <c r="C338" s="7"/>
    </row>
    <row r="339" spans="3:3" x14ac:dyDescent="0.25">
      <c r="C339" s="7"/>
    </row>
    <row r="340" spans="3:3" x14ac:dyDescent="0.25">
      <c r="C340" s="7"/>
    </row>
    <row r="341" spans="3:3" x14ac:dyDescent="0.25">
      <c r="C341" s="7"/>
    </row>
    <row r="342" spans="3:3" x14ac:dyDescent="0.25">
      <c r="C342" s="7"/>
    </row>
    <row r="343" spans="3:3" x14ac:dyDescent="0.25">
      <c r="C343" s="7"/>
    </row>
    <row r="344" spans="3:3" x14ac:dyDescent="0.25">
      <c r="C344" s="7"/>
    </row>
    <row r="345" spans="3:3" x14ac:dyDescent="0.25">
      <c r="C345" s="7"/>
    </row>
    <row r="346" spans="3:3" x14ac:dyDescent="0.25">
      <c r="C346" s="7"/>
    </row>
    <row r="347" spans="3:3" x14ac:dyDescent="0.25">
      <c r="C347" s="7"/>
    </row>
    <row r="348" spans="3:3" x14ac:dyDescent="0.25">
      <c r="C348" s="7"/>
    </row>
    <row r="349" spans="3:3" x14ac:dyDescent="0.25">
      <c r="C349" s="7"/>
    </row>
    <row r="350" spans="3:3" x14ac:dyDescent="0.25">
      <c r="C350" s="7"/>
    </row>
    <row r="351" spans="3:3" x14ac:dyDescent="0.25">
      <c r="C351" s="7"/>
    </row>
    <row r="352" spans="3:3" x14ac:dyDescent="0.25">
      <c r="C352" s="7"/>
    </row>
    <row r="353" spans="3:3" x14ac:dyDescent="0.25">
      <c r="C353" s="7"/>
    </row>
    <row r="354" spans="3:3" x14ac:dyDescent="0.25">
      <c r="C354" s="7"/>
    </row>
    <row r="355" spans="3:3" x14ac:dyDescent="0.25">
      <c r="C355" s="7"/>
    </row>
    <row r="356" spans="3:3" x14ac:dyDescent="0.25">
      <c r="C356" s="7"/>
    </row>
    <row r="357" spans="3:3" x14ac:dyDescent="0.25">
      <c r="C357" s="7"/>
    </row>
    <row r="358" spans="3:3" x14ac:dyDescent="0.25">
      <c r="C358" s="7"/>
    </row>
    <row r="359" spans="3:3" x14ac:dyDescent="0.25">
      <c r="C359" s="7"/>
    </row>
    <row r="360" spans="3:3" x14ac:dyDescent="0.25">
      <c r="C360" s="7"/>
    </row>
    <row r="361" spans="3:3" x14ac:dyDescent="0.25">
      <c r="C361" s="7"/>
    </row>
    <row r="362" spans="3:3" x14ac:dyDescent="0.25">
      <c r="C362" s="7"/>
    </row>
    <row r="363" spans="3:3" x14ac:dyDescent="0.25">
      <c r="C363" s="7"/>
    </row>
    <row r="364" spans="3:3" x14ac:dyDescent="0.25">
      <c r="C364" s="7"/>
    </row>
    <row r="365" spans="3:3" x14ac:dyDescent="0.25">
      <c r="C365" s="7"/>
    </row>
    <row r="366" spans="3:3" x14ac:dyDescent="0.25">
      <c r="C366" s="7"/>
    </row>
    <row r="367" spans="3:3" x14ac:dyDescent="0.25">
      <c r="C367" s="7"/>
    </row>
    <row r="368" spans="3:3" x14ac:dyDescent="0.25">
      <c r="C368" s="7"/>
    </row>
    <row r="369" spans="3:3" x14ac:dyDescent="0.25">
      <c r="C369" s="7"/>
    </row>
    <row r="370" spans="3:3" x14ac:dyDescent="0.25">
      <c r="C370" s="7"/>
    </row>
    <row r="371" spans="3:3" x14ac:dyDescent="0.25">
      <c r="C371" s="7"/>
    </row>
    <row r="372" spans="3:3" x14ac:dyDescent="0.25">
      <c r="C372" s="7"/>
    </row>
    <row r="373" spans="3:3" x14ac:dyDescent="0.25">
      <c r="C373" s="7"/>
    </row>
    <row r="374" spans="3:3" x14ac:dyDescent="0.25">
      <c r="C374" s="7"/>
    </row>
    <row r="375" spans="3:3" x14ac:dyDescent="0.25">
      <c r="C375" s="7"/>
    </row>
    <row r="376" spans="3:3" x14ac:dyDescent="0.25">
      <c r="C376" s="7"/>
    </row>
    <row r="377" spans="3:3" x14ac:dyDescent="0.25">
      <c r="C377" s="7"/>
    </row>
    <row r="378" spans="3:3" x14ac:dyDescent="0.25">
      <c r="C378" s="7"/>
    </row>
    <row r="379" spans="3:3" x14ac:dyDescent="0.25">
      <c r="C379" s="7"/>
    </row>
    <row r="380" spans="3:3" x14ac:dyDescent="0.25">
      <c r="C380" s="7"/>
    </row>
    <row r="381" spans="3:3" x14ac:dyDescent="0.25">
      <c r="C381" s="7"/>
    </row>
    <row r="382" spans="3:3" x14ac:dyDescent="0.25">
      <c r="C382" s="7"/>
    </row>
    <row r="383" spans="3:3" x14ac:dyDescent="0.25">
      <c r="C383" s="7"/>
    </row>
    <row r="384" spans="3:3" x14ac:dyDescent="0.25">
      <c r="C384" s="7"/>
    </row>
    <row r="385" spans="3:3" x14ac:dyDescent="0.25">
      <c r="C385" s="7"/>
    </row>
    <row r="386" spans="3:3" x14ac:dyDescent="0.25">
      <c r="C386" s="7"/>
    </row>
    <row r="387" spans="3:3" x14ac:dyDescent="0.25">
      <c r="C387" s="7"/>
    </row>
    <row r="388" spans="3:3" x14ac:dyDescent="0.25">
      <c r="C388" s="7"/>
    </row>
    <row r="389" spans="3:3" x14ac:dyDescent="0.25">
      <c r="C389" s="7"/>
    </row>
    <row r="390" spans="3:3" x14ac:dyDescent="0.25">
      <c r="C390" s="7"/>
    </row>
    <row r="391" spans="3:3" x14ac:dyDescent="0.25">
      <c r="C391" s="7"/>
    </row>
    <row r="392" spans="3:3" x14ac:dyDescent="0.25">
      <c r="C392" s="7"/>
    </row>
    <row r="393" spans="3:3" x14ac:dyDescent="0.25">
      <c r="C393" s="7"/>
    </row>
    <row r="394" spans="3:3" x14ac:dyDescent="0.25">
      <c r="C394" s="7"/>
    </row>
    <row r="395" spans="3:3" x14ac:dyDescent="0.25">
      <c r="C395" s="7"/>
    </row>
    <row r="396" spans="3:3" x14ac:dyDescent="0.25">
      <c r="C396" s="7"/>
    </row>
    <row r="397" spans="3:3" x14ac:dyDescent="0.25">
      <c r="C397" s="7"/>
    </row>
    <row r="398" spans="3:3" x14ac:dyDescent="0.25">
      <c r="C398" s="7"/>
    </row>
    <row r="399" spans="3:3" x14ac:dyDescent="0.25">
      <c r="C399" s="7"/>
    </row>
    <row r="400" spans="3:3" x14ac:dyDescent="0.25">
      <c r="C400" s="7"/>
    </row>
    <row r="401" spans="3:3" x14ac:dyDescent="0.25">
      <c r="C401" s="7"/>
    </row>
    <row r="402" spans="3:3" x14ac:dyDescent="0.25">
      <c r="C402" s="7"/>
    </row>
    <row r="403" spans="3:3" x14ac:dyDescent="0.25">
      <c r="C403" s="7"/>
    </row>
    <row r="404" spans="3:3" x14ac:dyDescent="0.25">
      <c r="C404" s="7"/>
    </row>
    <row r="405" spans="3:3" x14ac:dyDescent="0.25">
      <c r="C405" s="7"/>
    </row>
    <row r="406" spans="3:3" x14ac:dyDescent="0.25">
      <c r="C406" s="7"/>
    </row>
    <row r="407" spans="3:3" x14ac:dyDescent="0.25">
      <c r="C407" s="7"/>
    </row>
    <row r="408" spans="3:3" x14ac:dyDescent="0.25">
      <c r="C408" s="7"/>
    </row>
    <row r="409" spans="3:3" x14ac:dyDescent="0.25">
      <c r="C409" s="7"/>
    </row>
    <row r="410" spans="3:3" x14ac:dyDescent="0.25">
      <c r="C410" s="7"/>
    </row>
    <row r="411" spans="3:3" x14ac:dyDescent="0.25">
      <c r="C411" s="7"/>
    </row>
    <row r="412" spans="3:3" x14ac:dyDescent="0.25">
      <c r="C412" s="7"/>
    </row>
    <row r="413" spans="3:3" x14ac:dyDescent="0.25">
      <c r="C413" s="7"/>
    </row>
    <row r="414" spans="3:3" x14ac:dyDescent="0.25">
      <c r="C414" s="7"/>
    </row>
    <row r="415" spans="3:3" x14ac:dyDescent="0.25">
      <c r="C415" s="7"/>
    </row>
    <row r="416" spans="3:3" x14ac:dyDescent="0.25">
      <c r="C416" s="7"/>
    </row>
    <row r="417" spans="3:3" x14ac:dyDescent="0.25">
      <c r="C417" s="7"/>
    </row>
    <row r="418" spans="3:3" x14ac:dyDescent="0.25">
      <c r="C418" s="7"/>
    </row>
    <row r="419" spans="3:3" x14ac:dyDescent="0.25">
      <c r="C419" s="7"/>
    </row>
    <row r="420" spans="3:3" x14ac:dyDescent="0.25">
      <c r="C420" s="7"/>
    </row>
    <row r="421" spans="3:3" x14ac:dyDescent="0.25">
      <c r="C421" s="7"/>
    </row>
    <row r="422" spans="3:3" x14ac:dyDescent="0.25">
      <c r="C422" s="7"/>
    </row>
    <row r="423" spans="3:3" x14ac:dyDescent="0.25">
      <c r="C423" s="7"/>
    </row>
    <row r="424" spans="3:3" x14ac:dyDescent="0.25">
      <c r="C424" s="7"/>
    </row>
    <row r="425" spans="3:3" x14ac:dyDescent="0.25">
      <c r="C425" s="7"/>
    </row>
    <row r="426" spans="3:3" x14ac:dyDescent="0.25">
      <c r="C426" s="7"/>
    </row>
    <row r="427" spans="3:3" x14ac:dyDescent="0.25">
      <c r="C427" s="7"/>
    </row>
    <row r="428" spans="3:3" x14ac:dyDescent="0.25">
      <c r="C428" s="7"/>
    </row>
    <row r="429" spans="3:3" x14ac:dyDescent="0.25">
      <c r="C429" s="7"/>
    </row>
    <row r="430" spans="3:3" x14ac:dyDescent="0.25">
      <c r="C430" s="7"/>
    </row>
    <row r="431" spans="3:3" x14ac:dyDescent="0.25">
      <c r="C431" s="7"/>
    </row>
    <row r="432" spans="3:3" x14ac:dyDescent="0.25">
      <c r="C432" s="7"/>
    </row>
    <row r="433" spans="3:3" x14ac:dyDescent="0.25">
      <c r="C433" s="7"/>
    </row>
    <row r="434" spans="3:3" x14ac:dyDescent="0.25">
      <c r="C434" s="7"/>
    </row>
    <row r="435" spans="3:3" x14ac:dyDescent="0.25">
      <c r="C435" s="7"/>
    </row>
    <row r="436" spans="3:3" x14ac:dyDescent="0.25">
      <c r="C436" s="7"/>
    </row>
    <row r="437" spans="3:3" x14ac:dyDescent="0.25">
      <c r="C437" s="7"/>
    </row>
    <row r="438" spans="3:3" x14ac:dyDescent="0.25">
      <c r="C438" s="7"/>
    </row>
    <row r="439" spans="3:3" x14ac:dyDescent="0.25">
      <c r="C439" s="7"/>
    </row>
    <row r="440" spans="3:3" x14ac:dyDescent="0.25">
      <c r="C440" s="7"/>
    </row>
    <row r="441" spans="3:3" x14ac:dyDescent="0.25">
      <c r="C441" s="7"/>
    </row>
    <row r="442" spans="3:3" x14ac:dyDescent="0.25">
      <c r="C442" s="7"/>
    </row>
    <row r="443" spans="3:3" x14ac:dyDescent="0.25">
      <c r="C443" s="7"/>
    </row>
    <row r="444" spans="3:3" x14ac:dyDescent="0.25">
      <c r="C444" s="7"/>
    </row>
    <row r="445" spans="3:3" x14ac:dyDescent="0.25">
      <c r="C445" s="7"/>
    </row>
    <row r="446" spans="3:3" x14ac:dyDescent="0.25">
      <c r="C446" s="7"/>
    </row>
    <row r="447" spans="3:3" x14ac:dyDescent="0.25">
      <c r="C447" s="7"/>
    </row>
    <row r="448" spans="3:3" x14ac:dyDescent="0.25">
      <c r="C448" s="7"/>
    </row>
    <row r="449" spans="3:3" x14ac:dyDescent="0.25">
      <c r="C449" s="7"/>
    </row>
    <row r="450" spans="3:3" x14ac:dyDescent="0.25">
      <c r="C450" s="7"/>
    </row>
    <row r="451" spans="3:3" x14ac:dyDescent="0.25">
      <c r="C451" s="7"/>
    </row>
    <row r="452" spans="3:3" x14ac:dyDescent="0.25">
      <c r="C452" s="7"/>
    </row>
    <row r="453" spans="3:3" x14ac:dyDescent="0.25">
      <c r="C453" s="7"/>
    </row>
    <row r="454" spans="3:3" x14ac:dyDescent="0.25">
      <c r="C454" s="7"/>
    </row>
    <row r="455" spans="3:3" x14ac:dyDescent="0.25">
      <c r="C455" s="7"/>
    </row>
    <row r="456" spans="3:3" x14ac:dyDescent="0.25">
      <c r="C456" s="7"/>
    </row>
    <row r="457" spans="3:3" x14ac:dyDescent="0.25">
      <c r="C457" s="7"/>
    </row>
    <row r="458" spans="3:3" x14ac:dyDescent="0.25">
      <c r="C458" s="7"/>
    </row>
    <row r="459" spans="3:3" x14ac:dyDescent="0.25">
      <c r="C459" s="7"/>
    </row>
    <row r="460" spans="3:3" x14ac:dyDescent="0.25">
      <c r="C460" s="7"/>
    </row>
    <row r="461" spans="3:3" x14ac:dyDescent="0.25">
      <c r="C461" s="7"/>
    </row>
    <row r="462" spans="3:3" x14ac:dyDescent="0.25">
      <c r="C462" s="7"/>
    </row>
    <row r="463" spans="3:3" x14ac:dyDescent="0.25">
      <c r="C463" s="7"/>
    </row>
    <row r="464" spans="3:3" x14ac:dyDescent="0.25">
      <c r="C464" s="7"/>
    </row>
    <row r="465" spans="3:3" x14ac:dyDescent="0.25">
      <c r="C465" s="7"/>
    </row>
    <row r="466" spans="3:3" x14ac:dyDescent="0.25">
      <c r="C466" s="7"/>
    </row>
    <row r="467" spans="3:3" x14ac:dyDescent="0.25">
      <c r="C467" s="7"/>
    </row>
    <row r="468" spans="3:3" x14ac:dyDescent="0.25">
      <c r="C468" s="7"/>
    </row>
    <row r="469" spans="3:3" x14ac:dyDescent="0.25">
      <c r="C469" s="7"/>
    </row>
    <row r="470" spans="3:3" x14ac:dyDescent="0.25">
      <c r="C470" s="7"/>
    </row>
    <row r="471" spans="3:3" x14ac:dyDescent="0.25">
      <c r="C471" s="7"/>
    </row>
    <row r="472" spans="3:3" x14ac:dyDescent="0.25">
      <c r="C472" s="7"/>
    </row>
    <row r="473" spans="3:3" x14ac:dyDescent="0.25">
      <c r="C473" s="7"/>
    </row>
    <row r="474" spans="3:3" x14ac:dyDescent="0.25">
      <c r="C474" s="7"/>
    </row>
    <row r="475" spans="3:3" x14ac:dyDescent="0.25">
      <c r="C475" s="7"/>
    </row>
    <row r="476" spans="3:3" x14ac:dyDescent="0.25">
      <c r="C476" s="7"/>
    </row>
    <row r="477" spans="3:3" x14ac:dyDescent="0.25">
      <c r="C477" s="7"/>
    </row>
    <row r="478" spans="3:3" x14ac:dyDescent="0.25">
      <c r="C478" s="7"/>
    </row>
    <row r="479" spans="3:3" x14ac:dyDescent="0.25">
      <c r="C479" s="7"/>
    </row>
    <row r="480" spans="3:3" x14ac:dyDescent="0.25">
      <c r="C480" s="7"/>
    </row>
    <row r="481" spans="3:3" x14ac:dyDescent="0.25">
      <c r="C481" s="7"/>
    </row>
    <row r="482" spans="3:3" x14ac:dyDescent="0.25">
      <c r="C482" s="7"/>
    </row>
    <row r="483" spans="3:3" x14ac:dyDescent="0.25">
      <c r="C483" s="7"/>
    </row>
    <row r="484" spans="3:3" x14ac:dyDescent="0.25">
      <c r="C484" s="7"/>
    </row>
    <row r="485" spans="3:3" x14ac:dyDescent="0.25">
      <c r="C485" s="7"/>
    </row>
    <row r="486" spans="3:3" x14ac:dyDescent="0.25">
      <c r="C486" s="7"/>
    </row>
    <row r="487" spans="3:3" x14ac:dyDescent="0.25">
      <c r="C487" s="7"/>
    </row>
    <row r="488" spans="3:3" x14ac:dyDescent="0.25">
      <c r="C488" s="7"/>
    </row>
    <row r="489" spans="3:3" x14ac:dyDescent="0.25">
      <c r="C489" s="7"/>
    </row>
    <row r="490" spans="3:3" x14ac:dyDescent="0.25">
      <c r="C490" s="7"/>
    </row>
    <row r="491" spans="3:3" x14ac:dyDescent="0.25">
      <c r="C491" s="7"/>
    </row>
    <row r="492" spans="3:3" x14ac:dyDescent="0.25">
      <c r="C492" s="7"/>
    </row>
    <row r="493" spans="3:3" x14ac:dyDescent="0.25">
      <c r="C493" s="7"/>
    </row>
    <row r="494" spans="3:3" x14ac:dyDescent="0.25">
      <c r="C494" s="7"/>
    </row>
    <row r="495" spans="3:3" x14ac:dyDescent="0.25">
      <c r="C495" s="7"/>
    </row>
    <row r="496" spans="3:3" x14ac:dyDescent="0.25">
      <c r="C496" s="7"/>
    </row>
    <row r="497" spans="3:3" x14ac:dyDescent="0.25">
      <c r="C497" s="7"/>
    </row>
    <row r="498" spans="3:3" x14ac:dyDescent="0.25">
      <c r="C498" s="7"/>
    </row>
    <row r="499" spans="3:3" x14ac:dyDescent="0.25">
      <c r="C499" s="7"/>
    </row>
    <row r="500" spans="3:3" x14ac:dyDescent="0.25">
      <c r="C500" s="7"/>
    </row>
    <row r="501" spans="3:3" x14ac:dyDescent="0.25">
      <c r="C501" s="7"/>
    </row>
    <row r="502" spans="3:3" x14ac:dyDescent="0.25">
      <c r="C502" s="7"/>
    </row>
    <row r="503" spans="3:3" x14ac:dyDescent="0.25">
      <c r="C503" s="7"/>
    </row>
    <row r="504" spans="3:3" x14ac:dyDescent="0.25">
      <c r="C504" s="7"/>
    </row>
    <row r="505" spans="3:3" x14ac:dyDescent="0.25">
      <c r="C505" s="7"/>
    </row>
    <row r="506" spans="3:3" x14ac:dyDescent="0.25">
      <c r="C506" s="7"/>
    </row>
    <row r="507" spans="3:3" x14ac:dyDescent="0.25">
      <c r="C507" s="7"/>
    </row>
    <row r="508" spans="3:3" x14ac:dyDescent="0.25">
      <c r="C508" s="7"/>
    </row>
    <row r="509" spans="3:3" x14ac:dyDescent="0.25">
      <c r="C509" s="7"/>
    </row>
    <row r="510" spans="3:3" x14ac:dyDescent="0.25">
      <c r="C510" s="7"/>
    </row>
    <row r="511" spans="3:3" x14ac:dyDescent="0.25">
      <c r="C511" s="7"/>
    </row>
    <row r="512" spans="3:3" x14ac:dyDescent="0.25">
      <c r="C512" s="7"/>
    </row>
    <row r="513" spans="3:3" x14ac:dyDescent="0.25">
      <c r="C513" s="7"/>
    </row>
    <row r="514" spans="3:3" x14ac:dyDescent="0.25">
      <c r="C514" s="7"/>
    </row>
    <row r="515" spans="3:3" x14ac:dyDescent="0.25">
      <c r="C515" s="7"/>
    </row>
    <row r="516" spans="3:3" x14ac:dyDescent="0.25">
      <c r="C516" s="7"/>
    </row>
    <row r="517" spans="3:3" x14ac:dyDescent="0.25">
      <c r="C517" s="7"/>
    </row>
    <row r="518" spans="3:3" x14ac:dyDescent="0.25">
      <c r="C518" s="7"/>
    </row>
    <row r="519" spans="3:3" x14ac:dyDescent="0.25">
      <c r="C519" s="7"/>
    </row>
    <row r="520" spans="3:3" x14ac:dyDescent="0.25">
      <c r="C520" s="7"/>
    </row>
    <row r="521" spans="3:3" x14ac:dyDescent="0.25">
      <c r="C521" s="7"/>
    </row>
    <row r="522" spans="3:3" x14ac:dyDescent="0.25">
      <c r="C522" s="7"/>
    </row>
    <row r="523" spans="3:3" x14ac:dyDescent="0.25">
      <c r="C523" s="7"/>
    </row>
    <row r="524" spans="3:3" x14ac:dyDescent="0.25">
      <c r="C524" s="7"/>
    </row>
    <row r="525" spans="3:3" x14ac:dyDescent="0.25">
      <c r="C525" s="7"/>
    </row>
    <row r="526" spans="3:3" x14ac:dyDescent="0.25">
      <c r="C526" s="7"/>
    </row>
    <row r="527" spans="3:3" x14ac:dyDescent="0.25">
      <c r="C527" s="7"/>
    </row>
    <row r="528" spans="3:3" x14ac:dyDescent="0.25">
      <c r="C528" s="7"/>
    </row>
    <row r="529" spans="3:3" x14ac:dyDescent="0.25">
      <c r="C529" s="7"/>
    </row>
    <row r="530" spans="3:3" x14ac:dyDescent="0.25">
      <c r="C530" s="7"/>
    </row>
    <row r="531" spans="3:3" x14ac:dyDescent="0.25">
      <c r="C531" s="7"/>
    </row>
    <row r="532" spans="3:3" x14ac:dyDescent="0.25">
      <c r="C532" s="7"/>
    </row>
    <row r="533" spans="3:3" x14ac:dyDescent="0.25">
      <c r="C533" s="7"/>
    </row>
    <row r="534" spans="3:3" x14ac:dyDescent="0.25">
      <c r="C534" s="7"/>
    </row>
    <row r="535" spans="3:3" x14ac:dyDescent="0.25">
      <c r="C535" s="7"/>
    </row>
    <row r="536" spans="3:3" x14ac:dyDescent="0.25">
      <c r="C536" s="7"/>
    </row>
    <row r="537" spans="3:3" x14ac:dyDescent="0.25">
      <c r="C537" s="7"/>
    </row>
    <row r="538" spans="3:3" x14ac:dyDescent="0.25">
      <c r="C538" s="7"/>
    </row>
    <row r="539" spans="3:3" x14ac:dyDescent="0.25">
      <c r="C539" s="7"/>
    </row>
    <row r="540" spans="3:3" x14ac:dyDescent="0.25">
      <c r="C540" s="7"/>
    </row>
    <row r="541" spans="3:3" x14ac:dyDescent="0.25">
      <c r="C541" s="7"/>
    </row>
    <row r="542" spans="3:3" x14ac:dyDescent="0.25">
      <c r="C542" s="7"/>
    </row>
    <row r="543" spans="3:3" x14ac:dyDescent="0.25">
      <c r="C543" s="7"/>
    </row>
    <row r="544" spans="3:3" x14ac:dyDescent="0.25">
      <c r="C544" s="7"/>
    </row>
    <row r="545" spans="3:3" x14ac:dyDescent="0.25">
      <c r="C545" s="7"/>
    </row>
    <row r="546" spans="3:3" x14ac:dyDescent="0.25">
      <c r="C546" s="7"/>
    </row>
    <row r="547" spans="3:3" x14ac:dyDescent="0.25">
      <c r="C547" s="7"/>
    </row>
    <row r="548" spans="3:3" x14ac:dyDescent="0.25">
      <c r="C548" s="7"/>
    </row>
    <row r="549" spans="3:3" x14ac:dyDescent="0.25">
      <c r="C549" s="7"/>
    </row>
    <row r="550" spans="3:3" x14ac:dyDescent="0.25">
      <c r="C550" s="7"/>
    </row>
    <row r="551" spans="3:3" x14ac:dyDescent="0.25">
      <c r="C551" s="7"/>
    </row>
    <row r="552" spans="3:3" x14ac:dyDescent="0.25">
      <c r="C552" s="7"/>
    </row>
    <row r="553" spans="3:3" x14ac:dyDescent="0.25">
      <c r="C553" s="7"/>
    </row>
    <row r="554" spans="3:3" x14ac:dyDescent="0.25">
      <c r="C554" s="7"/>
    </row>
    <row r="555" spans="3:3" x14ac:dyDescent="0.25">
      <c r="C555" s="7"/>
    </row>
    <row r="556" spans="3:3" x14ac:dyDescent="0.25">
      <c r="C556" s="7"/>
    </row>
    <row r="557" spans="3:3" x14ac:dyDescent="0.25">
      <c r="C557" s="7"/>
    </row>
    <row r="558" spans="3:3" x14ac:dyDescent="0.25">
      <c r="C558" s="7"/>
    </row>
    <row r="559" spans="3:3" x14ac:dyDescent="0.25">
      <c r="C559" s="7"/>
    </row>
    <row r="560" spans="3:3" x14ac:dyDescent="0.25">
      <c r="C560" s="7"/>
    </row>
    <row r="561" spans="3:3" x14ac:dyDescent="0.25">
      <c r="C561" s="7"/>
    </row>
    <row r="562" spans="3:3" x14ac:dyDescent="0.25">
      <c r="C562" s="7"/>
    </row>
    <row r="563" spans="3:3" x14ac:dyDescent="0.25">
      <c r="C563" s="7"/>
    </row>
    <row r="564" spans="3:3" x14ac:dyDescent="0.25">
      <c r="C564" s="7"/>
    </row>
    <row r="565" spans="3:3" x14ac:dyDescent="0.25">
      <c r="C565" s="7"/>
    </row>
    <row r="566" spans="3:3" x14ac:dyDescent="0.25">
      <c r="C566" s="7"/>
    </row>
    <row r="567" spans="3:3" x14ac:dyDescent="0.25">
      <c r="C567" s="7"/>
    </row>
    <row r="568" spans="3:3" x14ac:dyDescent="0.25">
      <c r="C568" s="7"/>
    </row>
    <row r="569" spans="3:3" x14ac:dyDescent="0.25">
      <c r="C569" s="7"/>
    </row>
    <row r="570" spans="3:3" x14ac:dyDescent="0.25">
      <c r="C570" s="7"/>
    </row>
    <row r="571" spans="3:3" x14ac:dyDescent="0.25">
      <c r="C571" s="7"/>
    </row>
    <row r="572" spans="3:3" x14ac:dyDescent="0.25">
      <c r="C572" s="7"/>
    </row>
    <row r="573" spans="3:3" x14ac:dyDescent="0.25">
      <c r="C573" s="7"/>
    </row>
    <row r="574" spans="3:3" x14ac:dyDescent="0.25">
      <c r="C574" s="7"/>
    </row>
    <row r="575" spans="3:3" x14ac:dyDescent="0.25">
      <c r="C575" s="7"/>
    </row>
    <row r="576" spans="3:3" x14ac:dyDescent="0.25">
      <c r="C576" s="7"/>
    </row>
    <row r="577" spans="3:3" x14ac:dyDescent="0.25">
      <c r="C577" s="7"/>
    </row>
    <row r="578" spans="3:3" x14ac:dyDescent="0.25">
      <c r="C578" s="7"/>
    </row>
    <row r="579" spans="3:3" x14ac:dyDescent="0.25">
      <c r="C579" s="7"/>
    </row>
    <row r="580" spans="3:3" x14ac:dyDescent="0.25">
      <c r="C580" s="7"/>
    </row>
    <row r="581" spans="3:3" x14ac:dyDescent="0.25">
      <c r="C581" s="7"/>
    </row>
    <row r="582" spans="3:3" x14ac:dyDescent="0.25">
      <c r="C582" s="7"/>
    </row>
    <row r="583" spans="3:3" x14ac:dyDescent="0.25">
      <c r="C583" s="7"/>
    </row>
    <row r="584" spans="3:3" x14ac:dyDescent="0.25">
      <c r="C584" s="7"/>
    </row>
    <row r="585" spans="3:3" x14ac:dyDescent="0.25">
      <c r="C585" s="7"/>
    </row>
    <row r="586" spans="3:3" x14ac:dyDescent="0.25">
      <c r="C586" s="7"/>
    </row>
    <row r="587" spans="3:3" x14ac:dyDescent="0.25">
      <c r="C587" s="7"/>
    </row>
    <row r="588" spans="3:3" x14ac:dyDescent="0.25">
      <c r="C588" s="7"/>
    </row>
    <row r="589" spans="3:3" x14ac:dyDescent="0.25">
      <c r="C589" s="7"/>
    </row>
    <row r="590" spans="3:3" x14ac:dyDescent="0.25">
      <c r="C590" s="7"/>
    </row>
    <row r="591" spans="3:3" x14ac:dyDescent="0.25">
      <c r="C591" s="7"/>
    </row>
    <row r="592" spans="3:3" x14ac:dyDescent="0.25">
      <c r="C592" s="7"/>
    </row>
    <row r="593" spans="3:3" x14ac:dyDescent="0.25">
      <c r="C593" s="7"/>
    </row>
    <row r="594" spans="3:3" x14ac:dyDescent="0.25">
      <c r="C594" s="7"/>
    </row>
    <row r="595" spans="3:3" x14ac:dyDescent="0.25">
      <c r="C595" s="7"/>
    </row>
    <row r="596" spans="3:3" x14ac:dyDescent="0.25">
      <c r="C596" s="7"/>
    </row>
    <row r="597" spans="3:3" x14ac:dyDescent="0.25">
      <c r="C597" s="7"/>
    </row>
    <row r="598" spans="3:3" x14ac:dyDescent="0.25">
      <c r="C598" s="7"/>
    </row>
    <row r="599" spans="3:3" x14ac:dyDescent="0.25">
      <c r="C599" s="7"/>
    </row>
    <row r="600" spans="3:3" x14ac:dyDescent="0.25">
      <c r="C600" s="7"/>
    </row>
    <row r="601" spans="3:3" x14ac:dyDescent="0.25">
      <c r="C601" s="7"/>
    </row>
    <row r="602" spans="3:3" x14ac:dyDescent="0.25">
      <c r="C602" s="7"/>
    </row>
    <row r="603" spans="3:3" x14ac:dyDescent="0.25">
      <c r="C603" s="7"/>
    </row>
    <row r="604" spans="3:3" x14ac:dyDescent="0.25">
      <c r="C604" s="7"/>
    </row>
    <row r="605" spans="3:3" x14ac:dyDescent="0.25">
      <c r="C605" s="7"/>
    </row>
    <row r="606" spans="3:3" x14ac:dyDescent="0.25">
      <c r="C606" s="7"/>
    </row>
    <row r="607" spans="3:3" x14ac:dyDescent="0.25">
      <c r="C607" s="7"/>
    </row>
    <row r="608" spans="3:3" x14ac:dyDescent="0.25">
      <c r="C608" s="7"/>
    </row>
    <row r="609" spans="3:3" x14ac:dyDescent="0.25">
      <c r="C609" s="7"/>
    </row>
    <row r="610" spans="3:3" x14ac:dyDescent="0.25">
      <c r="C610" s="7"/>
    </row>
    <row r="611" spans="3:3" x14ac:dyDescent="0.25">
      <c r="C611" s="7"/>
    </row>
    <row r="612" spans="3:3" x14ac:dyDescent="0.25">
      <c r="C612" s="7"/>
    </row>
    <row r="613" spans="3:3" x14ac:dyDescent="0.25">
      <c r="C613" s="7"/>
    </row>
    <row r="614" spans="3:3" x14ac:dyDescent="0.25">
      <c r="C614" s="7"/>
    </row>
    <row r="615" spans="3:3" x14ac:dyDescent="0.25">
      <c r="C615" s="7"/>
    </row>
    <row r="616" spans="3:3" x14ac:dyDescent="0.25">
      <c r="C616" s="7"/>
    </row>
    <row r="617" spans="3:3" x14ac:dyDescent="0.25">
      <c r="C617" s="7"/>
    </row>
    <row r="618" spans="3:3" x14ac:dyDescent="0.25">
      <c r="C618" s="7"/>
    </row>
    <row r="619" spans="3:3" x14ac:dyDescent="0.25">
      <c r="C619" s="7"/>
    </row>
    <row r="620" spans="3:3" x14ac:dyDescent="0.25">
      <c r="C620" s="7"/>
    </row>
    <row r="621" spans="3:3" x14ac:dyDescent="0.25">
      <c r="C621" s="7"/>
    </row>
    <row r="622" spans="3:3" x14ac:dyDescent="0.25">
      <c r="C622" s="7"/>
    </row>
    <row r="623" spans="3:3" x14ac:dyDescent="0.25">
      <c r="C623" s="7"/>
    </row>
    <row r="624" spans="3:3" x14ac:dyDescent="0.25">
      <c r="C624" s="7"/>
    </row>
    <row r="625" spans="3:3" x14ac:dyDescent="0.25">
      <c r="C625" s="7"/>
    </row>
    <row r="626" spans="3:3" x14ac:dyDescent="0.25">
      <c r="C626" s="7"/>
    </row>
    <row r="627" spans="3:3" x14ac:dyDescent="0.25">
      <c r="C627" s="7"/>
    </row>
    <row r="628" spans="3:3" x14ac:dyDescent="0.25">
      <c r="C628" s="7"/>
    </row>
    <row r="629" spans="3:3" x14ac:dyDescent="0.25">
      <c r="C629" s="7"/>
    </row>
    <row r="630" spans="3:3" x14ac:dyDescent="0.25">
      <c r="C630" s="7"/>
    </row>
    <row r="631" spans="3:3" x14ac:dyDescent="0.25">
      <c r="C631" s="7"/>
    </row>
    <row r="632" spans="3:3" x14ac:dyDescent="0.25">
      <c r="C632" s="7"/>
    </row>
    <row r="633" spans="3:3" x14ac:dyDescent="0.25">
      <c r="C633" s="7"/>
    </row>
    <row r="634" spans="3:3" x14ac:dyDescent="0.25">
      <c r="C634" s="7"/>
    </row>
    <row r="635" spans="3:3" x14ac:dyDescent="0.25">
      <c r="C635" s="7"/>
    </row>
    <row r="636" spans="3:3" x14ac:dyDescent="0.25">
      <c r="C636" s="7"/>
    </row>
    <row r="637" spans="3:3" x14ac:dyDescent="0.25">
      <c r="C637" s="7"/>
    </row>
    <row r="638" spans="3:3" x14ac:dyDescent="0.25">
      <c r="C638" s="7"/>
    </row>
    <row r="639" spans="3:3" x14ac:dyDescent="0.25">
      <c r="C639" s="7"/>
    </row>
    <row r="640" spans="3:3" x14ac:dyDescent="0.25">
      <c r="C640" s="7"/>
    </row>
    <row r="641" spans="3:3" x14ac:dyDescent="0.25">
      <c r="C641" s="7"/>
    </row>
    <row r="642" spans="3:3" x14ac:dyDescent="0.25">
      <c r="C642" s="7"/>
    </row>
    <row r="643" spans="3:3" x14ac:dyDescent="0.25">
      <c r="C643" s="7"/>
    </row>
    <row r="644" spans="3:3" x14ac:dyDescent="0.25">
      <c r="C644" s="7"/>
    </row>
    <row r="645" spans="3:3" x14ac:dyDescent="0.25">
      <c r="C645" s="7"/>
    </row>
    <row r="646" spans="3:3" x14ac:dyDescent="0.25">
      <c r="C646" s="7"/>
    </row>
    <row r="647" spans="3:3" x14ac:dyDescent="0.25">
      <c r="C647" s="7"/>
    </row>
    <row r="648" spans="3:3" x14ac:dyDescent="0.25">
      <c r="C648" s="7"/>
    </row>
    <row r="649" spans="3:3" x14ac:dyDescent="0.25">
      <c r="C649" s="7"/>
    </row>
    <row r="650" spans="3:3" x14ac:dyDescent="0.25">
      <c r="C650" s="7"/>
    </row>
    <row r="651" spans="3:3" x14ac:dyDescent="0.25">
      <c r="C651" s="7"/>
    </row>
    <row r="652" spans="3:3" x14ac:dyDescent="0.25">
      <c r="C652" s="7"/>
    </row>
    <row r="653" spans="3:3" x14ac:dyDescent="0.25">
      <c r="C653" s="7"/>
    </row>
    <row r="654" spans="3:3" x14ac:dyDescent="0.25">
      <c r="C654" s="7"/>
    </row>
    <row r="655" spans="3:3" x14ac:dyDescent="0.25">
      <c r="C655" s="7"/>
    </row>
    <row r="656" spans="3:3" x14ac:dyDescent="0.25">
      <c r="C656" s="7"/>
    </row>
    <row r="657" spans="3:3" x14ac:dyDescent="0.25">
      <c r="C657" s="7"/>
    </row>
    <row r="658" spans="3:3" x14ac:dyDescent="0.25">
      <c r="C658" s="7"/>
    </row>
    <row r="659" spans="3:3" x14ac:dyDescent="0.25">
      <c r="C659" s="7"/>
    </row>
    <row r="660" spans="3:3" x14ac:dyDescent="0.25">
      <c r="C660" s="7"/>
    </row>
    <row r="661" spans="3:3" x14ac:dyDescent="0.25">
      <c r="C661" s="7"/>
    </row>
    <row r="662" spans="3:3" x14ac:dyDescent="0.25">
      <c r="C662" s="7"/>
    </row>
    <row r="663" spans="3:3" x14ac:dyDescent="0.25">
      <c r="C663" s="7"/>
    </row>
    <row r="664" spans="3:3" x14ac:dyDescent="0.25">
      <c r="C664" s="7"/>
    </row>
    <row r="665" spans="3:3" x14ac:dyDescent="0.25">
      <c r="C665" s="7"/>
    </row>
    <row r="666" spans="3:3" x14ac:dyDescent="0.25">
      <c r="C666" s="7"/>
    </row>
    <row r="667" spans="3:3" x14ac:dyDescent="0.25">
      <c r="C667" s="7"/>
    </row>
    <row r="668" spans="3:3" x14ac:dyDescent="0.25">
      <c r="C668" s="7"/>
    </row>
    <row r="669" spans="3:3" x14ac:dyDescent="0.25">
      <c r="C669" s="7"/>
    </row>
    <row r="670" spans="3:3" x14ac:dyDescent="0.25">
      <c r="C670" s="7"/>
    </row>
    <row r="671" spans="3:3" x14ac:dyDescent="0.25">
      <c r="C671" s="7"/>
    </row>
    <row r="672" spans="3:3" x14ac:dyDescent="0.25">
      <c r="C672" s="7"/>
    </row>
    <row r="673" spans="3:3" x14ac:dyDescent="0.25">
      <c r="C673" s="7"/>
    </row>
    <row r="674" spans="3:3" x14ac:dyDescent="0.25">
      <c r="C674" s="7"/>
    </row>
    <row r="675" spans="3:3" x14ac:dyDescent="0.25">
      <c r="C675" s="7"/>
    </row>
    <row r="676" spans="3:3" x14ac:dyDescent="0.25">
      <c r="C676" s="7"/>
    </row>
    <row r="677" spans="3:3" x14ac:dyDescent="0.25">
      <c r="C677" s="7"/>
    </row>
    <row r="678" spans="3:3" x14ac:dyDescent="0.25">
      <c r="C678" s="7"/>
    </row>
    <row r="679" spans="3:3" x14ac:dyDescent="0.25">
      <c r="C679" s="7"/>
    </row>
    <row r="680" spans="3:3" x14ac:dyDescent="0.25">
      <c r="C680" s="7"/>
    </row>
    <row r="681" spans="3:3" x14ac:dyDescent="0.25">
      <c r="C681" s="7"/>
    </row>
    <row r="682" spans="3:3" x14ac:dyDescent="0.25">
      <c r="C682" s="7"/>
    </row>
    <row r="683" spans="3:3" x14ac:dyDescent="0.25">
      <c r="C683" s="7"/>
    </row>
    <row r="684" spans="3:3" x14ac:dyDescent="0.25">
      <c r="C684" s="7"/>
    </row>
    <row r="685" spans="3:3" x14ac:dyDescent="0.25">
      <c r="C685" s="7"/>
    </row>
    <row r="686" spans="3:3" x14ac:dyDescent="0.25">
      <c r="C686" s="7"/>
    </row>
    <row r="687" spans="3:3" x14ac:dyDescent="0.25">
      <c r="C687" s="7"/>
    </row>
    <row r="688" spans="3:3" x14ac:dyDescent="0.25">
      <c r="C688" s="7"/>
    </row>
    <row r="689" spans="3:3" x14ac:dyDescent="0.25">
      <c r="C689" s="7"/>
    </row>
    <row r="690" spans="3:3" x14ac:dyDescent="0.25">
      <c r="C690" s="7"/>
    </row>
    <row r="691" spans="3:3" x14ac:dyDescent="0.25">
      <c r="C691" s="7"/>
    </row>
    <row r="692" spans="3:3" x14ac:dyDescent="0.25">
      <c r="C692" s="7"/>
    </row>
    <row r="693" spans="3:3" x14ac:dyDescent="0.25">
      <c r="C693" s="7"/>
    </row>
    <row r="694" spans="3:3" x14ac:dyDescent="0.25">
      <c r="C694" s="7"/>
    </row>
    <row r="695" spans="3:3" x14ac:dyDescent="0.25">
      <c r="C695" s="7"/>
    </row>
    <row r="696" spans="3:3" x14ac:dyDescent="0.25">
      <c r="C696" s="7"/>
    </row>
    <row r="697" spans="3:3" x14ac:dyDescent="0.25">
      <c r="C697" s="7"/>
    </row>
    <row r="698" spans="3:3" x14ac:dyDescent="0.25">
      <c r="C698" s="7"/>
    </row>
    <row r="699" spans="3:3" x14ac:dyDescent="0.25">
      <c r="C699" s="7"/>
    </row>
    <row r="700" spans="3:3" x14ac:dyDescent="0.25">
      <c r="C700" s="7"/>
    </row>
    <row r="701" spans="3:3" x14ac:dyDescent="0.25">
      <c r="C701" s="7"/>
    </row>
    <row r="702" spans="3:3" x14ac:dyDescent="0.25">
      <c r="C702" s="7"/>
    </row>
    <row r="703" spans="3:3" x14ac:dyDescent="0.25">
      <c r="C703" s="7"/>
    </row>
    <row r="704" spans="3:3" x14ac:dyDescent="0.25">
      <c r="C704" s="7"/>
    </row>
    <row r="705" spans="3:3" x14ac:dyDescent="0.25">
      <c r="C705" s="7"/>
    </row>
    <row r="706" spans="3:3" x14ac:dyDescent="0.25">
      <c r="C706" s="7"/>
    </row>
    <row r="707" spans="3:3" x14ac:dyDescent="0.25">
      <c r="C707" s="7"/>
    </row>
    <row r="708" spans="3:3" x14ac:dyDescent="0.25">
      <c r="C708" s="7"/>
    </row>
    <row r="709" spans="3:3" x14ac:dyDescent="0.25">
      <c r="C709" s="7"/>
    </row>
    <row r="710" spans="3:3" x14ac:dyDescent="0.25">
      <c r="C710" s="7"/>
    </row>
    <row r="711" spans="3:3" x14ac:dyDescent="0.25">
      <c r="C711" s="7"/>
    </row>
    <row r="712" spans="3:3" x14ac:dyDescent="0.25">
      <c r="C712" s="7"/>
    </row>
    <row r="713" spans="3:3" x14ac:dyDescent="0.25">
      <c r="C713" s="7"/>
    </row>
    <row r="714" spans="3:3" x14ac:dyDescent="0.25">
      <c r="C714" s="7"/>
    </row>
    <row r="715" spans="3:3" x14ac:dyDescent="0.25">
      <c r="C715" s="7"/>
    </row>
    <row r="716" spans="3:3" x14ac:dyDescent="0.25">
      <c r="C716" s="7"/>
    </row>
    <row r="717" spans="3:3" x14ac:dyDescent="0.25">
      <c r="C717" s="7"/>
    </row>
    <row r="718" spans="3:3" x14ac:dyDescent="0.25">
      <c r="C718" s="7"/>
    </row>
    <row r="719" spans="3:3" x14ac:dyDescent="0.25">
      <c r="C719" s="7"/>
    </row>
    <row r="720" spans="3:3" x14ac:dyDescent="0.25">
      <c r="C720" s="7"/>
    </row>
    <row r="721" spans="3:3" x14ac:dyDescent="0.25">
      <c r="C721" s="7"/>
    </row>
    <row r="722" spans="3:3" x14ac:dyDescent="0.25">
      <c r="C722" s="7"/>
    </row>
    <row r="723" spans="3:3" x14ac:dyDescent="0.25">
      <c r="C723" s="7"/>
    </row>
    <row r="724" spans="3:3" x14ac:dyDescent="0.25">
      <c r="C724" s="7"/>
    </row>
    <row r="725" spans="3:3" x14ac:dyDescent="0.25">
      <c r="C725" s="7"/>
    </row>
    <row r="726" spans="3:3" x14ac:dyDescent="0.25">
      <c r="C726" s="7"/>
    </row>
    <row r="727" spans="3:3" x14ac:dyDescent="0.25">
      <c r="C727" s="7"/>
    </row>
    <row r="728" spans="3:3" x14ac:dyDescent="0.25">
      <c r="C728" s="7"/>
    </row>
    <row r="729" spans="3:3" x14ac:dyDescent="0.25">
      <c r="C729" s="7"/>
    </row>
    <row r="730" spans="3:3" x14ac:dyDescent="0.25">
      <c r="C730" s="7"/>
    </row>
    <row r="731" spans="3:3" x14ac:dyDescent="0.25">
      <c r="C731" s="7"/>
    </row>
    <row r="732" spans="3:3" x14ac:dyDescent="0.25">
      <c r="C732" s="7"/>
    </row>
    <row r="733" spans="3:3" x14ac:dyDescent="0.25">
      <c r="C733" s="7"/>
    </row>
    <row r="734" spans="3:3" x14ac:dyDescent="0.25">
      <c r="C734" s="7"/>
    </row>
    <row r="735" spans="3:3" x14ac:dyDescent="0.25">
      <c r="C735" s="7"/>
    </row>
    <row r="736" spans="3:3" x14ac:dyDescent="0.25">
      <c r="C736" s="7"/>
    </row>
    <row r="737" spans="3:3" x14ac:dyDescent="0.25">
      <c r="C737" s="7"/>
    </row>
    <row r="738" spans="3:3" x14ac:dyDescent="0.25">
      <c r="C738" s="7"/>
    </row>
    <row r="739" spans="3:3" x14ac:dyDescent="0.25">
      <c r="C739" s="7"/>
    </row>
    <row r="740" spans="3:3" x14ac:dyDescent="0.25">
      <c r="C740" s="7"/>
    </row>
    <row r="741" spans="3:3" x14ac:dyDescent="0.25">
      <c r="C741" s="7"/>
    </row>
    <row r="742" spans="3:3" x14ac:dyDescent="0.25">
      <c r="C742" s="7"/>
    </row>
    <row r="743" spans="3:3" x14ac:dyDescent="0.25">
      <c r="C743" s="7"/>
    </row>
    <row r="744" spans="3:3" x14ac:dyDescent="0.25">
      <c r="C744" s="7"/>
    </row>
    <row r="745" spans="3:3" x14ac:dyDescent="0.25">
      <c r="C745" s="7"/>
    </row>
    <row r="746" spans="3:3" x14ac:dyDescent="0.25">
      <c r="C746" s="7"/>
    </row>
    <row r="747" spans="3:3" x14ac:dyDescent="0.25">
      <c r="C747" s="7"/>
    </row>
    <row r="748" spans="3:3" x14ac:dyDescent="0.25">
      <c r="C748" s="7"/>
    </row>
    <row r="749" spans="3:3" x14ac:dyDescent="0.25">
      <c r="C749" s="7"/>
    </row>
    <row r="750" spans="3:3" x14ac:dyDescent="0.25">
      <c r="C750" s="7"/>
    </row>
    <row r="751" spans="3:3" x14ac:dyDescent="0.25">
      <c r="C751" s="7"/>
    </row>
    <row r="752" spans="3:3" x14ac:dyDescent="0.25">
      <c r="C752" s="7"/>
    </row>
    <row r="753" spans="3:3" x14ac:dyDescent="0.25">
      <c r="C753" s="7"/>
    </row>
    <row r="754" spans="3:3" x14ac:dyDescent="0.25">
      <c r="C754" s="7"/>
    </row>
    <row r="755" spans="3:3" x14ac:dyDescent="0.25">
      <c r="C755" s="7"/>
    </row>
    <row r="756" spans="3:3" x14ac:dyDescent="0.25">
      <c r="C756" s="7"/>
    </row>
    <row r="757" spans="3:3" x14ac:dyDescent="0.25">
      <c r="C757" s="7"/>
    </row>
    <row r="758" spans="3:3" x14ac:dyDescent="0.25">
      <c r="C758" s="7"/>
    </row>
    <row r="759" spans="3:3" x14ac:dyDescent="0.25">
      <c r="C759" s="7"/>
    </row>
    <row r="760" spans="3:3" x14ac:dyDescent="0.25">
      <c r="C760" s="7"/>
    </row>
    <row r="761" spans="3:3" x14ac:dyDescent="0.25">
      <c r="C761" s="7"/>
    </row>
    <row r="762" spans="3:3" x14ac:dyDescent="0.25">
      <c r="C762" s="7"/>
    </row>
    <row r="763" spans="3:3" x14ac:dyDescent="0.25">
      <c r="C763" s="7"/>
    </row>
    <row r="764" spans="3:3" x14ac:dyDescent="0.25">
      <c r="C764" s="7"/>
    </row>
    <row r="765" spans="3:3" x14ac:dyDescent="0.25">
      <c r="C765" s="7"/>
    </row>
    <row r="766" spans="3:3" x14ac:dyDescent="0.25">
      <c r="C766" s="7"/>
    </row>
    <row r="767" spans="3:3" x14ac:dyDescent="0.25">
      <c r="C767" s="7"/>
    </row>
    <row r="768" spans="3:3" x14ac:dyDescent="0.25">
      <c r="C768" s="7"/>
    </row>
    <row r="769" spans="3:3" x14ac:dyDescent="0.25">
      <c r="C769" s="7"/>
    </row>
    <row r="770" spans="3:3" x14ac:dyDescent="0.25">
      <c r="C770" s="7"/>
    </row>
    <row r="771" spans="3:3" x14ac:dyDescent="0.25">
      <c r="C771" s="7"/>
    </row>
    <row r="772" spans="3:3" x14ac:dyDescent="0.25">
      <c r="C772" s="7"/>
    </row>
    <row r="773" spans="3:3" x14ac:dyDescent="0.25">
      <c r="C773" s="7"/>
    </row>
    <row r="774" spans="3:3" x14ac:dyDescent="0.25">
      <c r="C774" s="7"/>
    </row>
    <row r="775" spans="3:3" x14ac:dyDescent="0.25">
      <c r="C775" s="7"/>
    </row>
    <row r="776" spans="3:3" x14ac:dyDescent="0.25">
      <c r="C776" s="7"/>
    </row>
    <row r="777" spans="3:3" x14ac:dyDescent="0.25">
      <c r="C777" s="7"/>
    </row>
    <row r="778" spans="3:3" x14ac:dyDescent="0.25">
      <c r="C778" s="7"/>
    </row>
    <row r="779" spans="3:3" x14ac:dyDescent="0.25">
      <c r="C779" s="7"/>
    </row>
    <row r="780" spans="3:3" x14ac:dyDescent="0.25">
      <c r="C780" s="7"/>
    </row>
    <row r="781" spans="3:3" x14ac:dyDescent="0.25">
      <c r="C781" s="7"/>
    </row>
    <row r="782" spans="3:3" x14ac:dyDescent="0.25">
      <c r="C782" s="7"/>
    </row>
    <row r="783" spans="3:3" x14ac:dyDescent="0.25">
      <c r="C783" s="7"/>
    </row>
    <row r="784" spans="3:3" x14ac:dyDescent="0.25">
      <c r="C784" s="7"/>
    </row>
    <row r="785" spans="3:3" x14ac:dyDescent="0.25">
      <c r="C785" s="7"/>
    </row>
    <row r="786" spans="3:3" x14ac:dyDescent="0.25">
      <c r="C786" s="7"/>
    </row>
    <row r="787" spans="3:3" x14ac:dyDescent="0.25">
      <c r="C787" s="7"/>
    </row>
    <row r="788" spans="3:3" x14ac:dyDescent="0.25">
      <c r="C788" s="7"/>
    </row>
    <row r="789" spans="3:3" x14ac:dyDescent="0.25">
      <c r="C789" s="7"/>
    </row>
    <row r="790" spans="3:3" x14ac:dyDescent="0.25">
      <c r="C790" s="7"/>
    </row>
    <row r="791" spans="3:3" x14ac:dyDescent="0.25">
      <c r="C791" s="7"/>
    </row>
    <row r="792" spans="3:3" x14ac:dyDescent="0.25">
      <c r="C792" s="7"/>
    </row>
    <row r="793" spans="3:3" x14ac:dyDescent="0.25">
      <c r="C793" s="7"/>
    </row>
    <row r="794" spans="3:3" x14ac:dyDescent="0.25">
      <c r="C794" s="7"/>
    </row>
    <row r="795" spans="3:3" x14ac:dyDescent="0.25">
      <c r="C795" s="7"/>
    </row>
    <row r="796" spans="3:3" x14ac:dyDescent="0.25">
      <c r="C796" s="7"/>
    </row>
    <row r="797" spans="3:3" x14ac:dyDescent="0.25">
      <c r="C797" s="7"/>
    </row>
    <row r="798" spans="3:3" x14ac:dyDescent="0.25">
      <c r="C798" s="7"/>
    </row>
    <row r="799" spans="3:3" x14ac:dyDescent="0.25">
      <c r="C799" s="7"/>
    </row>
    <row r="800" spans="3:3" x14ac:dyDescent="0.25">
      <c r="C800" s="7"/>
    </row>
    <row r="801" spans="3:3" x14ac:dyDescent="0.25">
      <c r="C801" s="7"/>
    </row>
    <row r="802" spans="3:3" x14ac:dyDescent="0.25">
      <c r="C802" s="7"/>
    </row>
    <row r="803" spans="3:3" x14ac:dyDescent="0.25">
      <c r="C803" s="7"/>
    </row>
    <row r="804" spans="3:3" x14ac:dyDescent="0.25">
      <c r="C804" s="7"/>
    </row>
    <row r="805" spans="3:3" x14ac:dyDescent="0.25">
      <c r="C805" s="7"/>
    </row>
    <row r="806" spans="3:3" x14ac:dyDescent="0.25">
      <c r="C806" s="7"/>
    </row>
    <row r="807" spans="3:3" x14ac:dyDescent="0.25">
      <c r="C807" s="7"/>
    </row>
    <row r="808" spans="3:3" x14ac:dyDescent="0.25">
      <c r="C808" s="7"/>
    </row>
    <row r="809" spans="3:3" x14ac:dyDescent="0.25">
      <c r="C809" s="7"/>
    </row>
    <row r="810" spans="3:3" x14ac:dyDescent="0.25">
      <c r="C810" s="7"/>
    </row>
    <row r="811" spans="3:3" x14ac:dyDescent="0.25">
      <c r="C811" s="7"/>
    </row>
    <row r="812" spans="3:3" x14ac:dyDescent="0.25">
      <c r="C812" s="7"/>
    </row>
    <row r="813" spans="3:3" x14ac:dyDescent="0.25">
      <c r="C813" s="7"/>
    </row>
    <row r="814" spans="3:3" x14ac:dyDescent="0.25">
      <c r="C814" s="7"/>
    </row>
    <row r="815" spans="3:3" x14ac:dyDescent="0.25">
      <c r="C815" s="7"/>
    </row>
    <row r="816" spans="3:3" x14ac:dyDescent="0.25">
      <c r="C816" s="7"/>
    </row>
    <row r="817" spans="3:3" x14ac:dyDescent="0.25">
      <c r="C817" s="7"/>
    </row>
    <row r="818" spans="3:3" x14ac:dyDescent="0.25">
      <c r="C818" s="7"/>
    </row>
    <row r="819" spans="3:3" x14ac:dyDescent="0.25">
      <c r="C819" s="7"/>
    </row>
    <row r="820" spans="3:3" x14ac:dyDescent="0.25">
      <c r="C820" s="7"/>
    </row>
    <row r="821" spans="3:3" x14ac:dyDescent="0.25">
      <c r="C821" s="7"/>
    </row>
    <row r="822" spans="3:3" x14ac:dyDescent="0.25">
      <c r="C822" s="7"/>
    </row>
    <row r="823" spans="3:3" x14ac:dyDescent="0.25">
      <c r="C823" s="7"/>
    </row>
    <row r="824" spans="3:3" x14ac:dyDescent="0.25">
      <c r="C824" s="7"/>
    </row>
    <row r="825" spans="3:3" x14ac:dyDescent="0.25">
      <c r="C825" s="7"/>
    </row>
    <row r="826" spans="3:3" x14ac:dyDescent="0.25">
      <c r="C826" s="7"/>
    </row>
    <row r="827" spans="3:3" x14ac:dyDescent="0.25">
      <c r="C827" s="7"/>
    </row>
    <row r="828" spans="3:3" x14ac:dyDescent="0.25">
      <c r="C828" s="7"/>
    </row>
    <row r="829" spans="3:3" x14ac:dyDescent="0.25">
      <c r="C829" s="7"/>
    </row>
    <row r="830" spans="3:3" x14ac:dyDescent="0.25">
      <c r="C830" s="7"/>
    </row>
    <row r="831" spans="3:3" x14ac:dyDescent="0.25">
      <c r="C831" s="7"/>
    </row>
    <row r="832" spans="3:3" x14ac:dyDescent="0.25">
      <c r="C832" s="7"/>
    </row>
    <row r="833" spans="3:3" x14ac:dyDescent="0.25">
      <c r="C833" s="7"/>
    </row>
    <row r="834" spans="3:3" x14ac:dyDescent="0.25">
      <c r="C834" s="7"/>
    </row>
    <row r="835" spans="3:3" x14ac:dyDescent="0.25">
      <c r="C835" s="7"/>
    </row>
    <row r="836" spans="3:3" x14ac:dyDescent="0.25">
      <c r="C836" s="7"/>
    </row>
    <row r="837" spans="3:3" x14ac:dyDescent="0.25">
      <c r="C837" s="7"/>
    </row>
    <row r="838" spans="3:3" x14ac:dyDescent="0.25">
      <c r="C838" s="7"/>
    </row>
    <row r="839" spans="3:3" x14ac:dyDescent="0.25">
      <c r="C839" s="7"/>
    </row>
    <row r="840" spans="3:3" x14ac:dyDescent="0.25">
      <c r="C840" s="7"/>
    </row>
    <row r="841" spans="3:3" x14ac:dyDescent="0.25">
      <c r="C841" s="7"/>
    </row>
    <row r="842" spans="3:3" x14ac:dyDescent="0.25">
      <c r="C842" s="7"/>
    </row>
    <row r="843" spans="3:3" x14ac:dyDescent="0.25">
      <c r="C843" s="7"/>
    </row>
    <row r="844" spans="3:3" x14ac:dyDescent="0.25">
      <c r="C844" s="7"/>
    </row>
    <row r="845" spans="3:3" x14ac:dyDescent="0.25">
      <c r="C845" s="7"/>
    </row>
    <row r="846" spans="3:3" x14ac:dyDescent="0.25">
      <c r="C846" s="7"/>
    </row>
    <row r="847" spans="3:3" x14ac:dyDescent="0.25">
      <c r="C847" s="7"/>
    </row>
    <row r="848" spans="3:3" x14ac:dyDescent="0.25">
      <c r="C848" s="7"/>
    </row>
    <row r="849" spans="3:3" x14ac:dyDescent="0.25">
      <c r="C849" s="7"/>
    </row>
    <row r="850" spans="3:3" x14ac:dyDescent="0.25">
      <c r="C850" s="7"/>
    </row>
    <row r="851" spans="3:3" x14ac:dyDescent="0.25">
      <c r="C851" s="7"/>
    </row>
    <row r="852" spans="3:3" x14ac:dyDescent="0.25">
      <c r="C852" s="7"/>
    </row>
    <row r="853" spans="3:3" x14ac:dyDescent="0.25">
      <c r="C853" s="7"/>
    </row>
    <row r="854" spans="3:3" x14ac:dyDescent="0.25">
      <c r="C854" s="7"/>
    </row>
    <row r="855" spans="3:3" x14ac:dyDescent="0.25">
      <c r="C855" s="7"/>
    </row>
    <row r="856" spans="3:3" x14ac:dyDescent="0.25">
      <c r="C856" s="7"/>
    </row>
    <row r="857" spans="3:3" x14ac:dyDescent="0.25">
      <c r="C857" s="7"/>
    </row>
    <row r="858" spans="3:3" x14ac:dyDescent="0.25">
      <c r="C858" s="7"/>
    </row>
    <row r="859" spans="3:3" x14ac:dyDescent="0.25">
      <c r="C859" s="7"/>
    </row>
    <row r="860" spans="3:3" x14ac:dyDescent="0.25">
      <c r="C860" s="7"/>
    </row>
    <row r="861" spans="3:3" x14ac:dyDescent="0.25">
      <c r="C861" s="7"/>
    </row>
    <row r="862" spans="3:3" x14ac:dyDescent="0.25">
      <c r="C862" s="7"/>
    </row>
    <row r="863" spans="3:3" x14ac:dyDescent="0.25">
      <c r="C863" s="7"/>
    </row>
    <row r="864" spans="3:3" x14ac:dyDescent="0.25">
      <c r="C864" s="7"/>
    </row>
    <row r="865" spans="3:3" x14ac:dyDescent="0.25">
      <c r="C865" s="7"/>
    </row>
    <row r="866" spans="3:3" x14ac:dyDescent="0.25">
      <c r="C866" s="7"/>
    </row>
    <row r="867" spans="3:3" x14ac:dyDescent="0.25">
      <c r="C867" s="7"/>
    </row>
    <row r="868" spans="3:3" x14ac:dyDescent="0.25">
      <c r="C868" s="7"/>
    </row>
    <row r="869" spans="3:3" x14ac:dyDescent="0.25">
      <c r="C869" s="7"/>
    </row>
  </sheetData>
  <autoFilter ref="A1:M43" xr:uid="{1161FB84-8BAF-4142-85D8-C1A858BD7D3F}"/>
  <sortState xmlns:xlrd2="http://schemas.microsoft.com/office/spreadsheetml/2017/richdata2" ref="A3:K37">
    <sortCondition descending="1" ref="B3:B42"/>
  </sortState>
  <pageMargins left="0.25" right="0.25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7500-EEBE-40A9-B53F-8E4AEB438A30}">
  <sheetPr>
    <pageSetUpPr fitToPage="1"/>
  </sheetPr>
  <dimension ref="A1:G17"/>
  <sheetViews>
    <sheetView topLeftCell="A13" workbookViewId="0">
      <selection activeCell="C17" sqref="C17"/>
    </sheetView>
  </sheetViews>
  <sheetFormatPr defaultRowHeight="15" x14ac:dyDescent="0.25"/>
  <cols>
    <col min="1" max="1" width="19.140625" customWidth="1"/>
    <col min="2" max="2" width="20.5703125" customWidth="1"/>
    <col min="3" max="3" width="23.28515625" customWidth="1"/>
    <col min="4" max="4" width="25.140625" customWidth="1"/>
    <col min="5" max="5" width="71.42578125" customWidth="1"/>
    <col min="6" max="6" width="29" customWidth="1"/>
    <col min="7" max="7" width="20" customWidth="1"/>
  </cols>
  <sheetData>
    <row r="1" spans="1:7" x14ac:dyDescent="0.25">
      <c r="A1" s="18" t="s">
        <v>313</v>
      </c>
      <c r="B1" s="18" t="s">
        <v>302</v>
      </c>
      <c r="C1" s="18" t="s">
        <v>303</v>
      </c>
      <c r="D1" s="18" t="s">
        <v>304</v>
      </c>
      <c r="E1" s="18" t="s">
        <v>314</v>
      </c>
      <c r="F1" s="18" t="s">
        <v>328</v>
      </c>
      <c r="G1" s="13" t="s">
        <v>329</v>
      </c>
    </row>
    <row r="2" spans="1:7" ht="98.25" customHeight="1" x14ac:dyDescent="0.25">
      <c r="A2" s="14" t="s">
        <v>308</v>
      </c>
      <c r="B2" s="14">
        <v>220</v>
      </c>
      <c r="C2" s="14">
        <v>200</v>
      </c>
      <c r="D2" s="14">
        <v>160</v>
      </c>
      <c r="E2" s="16" t="s">
        <v>315</v>
      </c>
      <c r="F2" s="11">
        <v>7</v>
      </c>
      <c r="G2" s="15" t="s">
        <v>330</v>
      </c>
    </row>
    <row r="3" spans="1:7" ht="98.25" customHeight="1" x14ac:dyDescent="0.25">
      <c r="A3" s="11" t="s">
        <v>311</v>
      </c>
      <c r="B3" s="11">
        <v>195</v>
      </c>
      <c r="C3" s="11">
        <v>185</v>
      </c>
      <c r="D3" s="11">
        <v>170</v>
      </c>
      <c r="E3" s="16" t="s">
        <v>316</v>
      </c>
      <c r="F3" s="11">
        <v>5</v>
      </c>
      <c r="G3" s="15" t="s">
        <v>331</v>
      </c>
    </row>
    <row r="4" spans="1:7" ht="98.25" customHeight="1" x14ac:dyDescent="0.25">
      <c r="A4" s="14" t="s">
        <v>310</v>
      </c>
      <c r="B4" s="14">
        <v>125</v>
      </c>
      <c r="C4" s="14">
        <v>120</v>
      </c>
      <c r="D4" s="14">
        <v>120</v>
      </c>
      <c r="E4" s="17" t="s">
        <v>317</v>
      </c>
      <c r="F4" s="11">
        <v>1</v>
      </c>
      <c r="G4" s="15" t="s">
        <v>332</v>
      </c>
    </row>
    <row r="5" spans="1:7" ht="98.25" customHeight="1" x14ac:dyDescent="0.25">
      <c r="A5" s="14" t="s">
        <v>312</v>
      </c>
      <c r="B5" s="14">
        <v>285</v>
      </c>
      <c r="C5" s="14">
        <v>270</v>
      </c>
      <c r="D5" s="14">
        <v>180</v>
      </c>
      <c r="E5" s="16" t="s">
        <v>316</v>
      </c>
      <c r="F5" s="11">
        <v>4</v>
      </c>
      <c r="G5" s="15" t="s">
        <v>333</v>
      </c>
    </row>
    <row r="6" spans="1:7" ht="98.25" customHeight="1" x14ac:dyDescent="0.25">
      <c r="A6" s="31" t="s">
        <v>309</v>
      </c>
      <c r="B6" s="31">
        <v>360</v>
      </c>
      <c r="C6" s="31">
        <v>70</v>
      </c>
      <c r="D6" s="31">
        <v>50</v>
      </c>
      <c r="E6" s="32" t="s">
        <v>318</v>
      </c>
      <c r="F6" s="31">
        <v>2</v>
      </c>
      <c r="G6" s="33" t="s">
        <v>334</v>
      </c>
    </row>
    <row r="7" spans="1:7" ht="98.25" customHeight="1" x14ac:dyDescent="0.25">
      <c r="A7" s="14" t="s">
        <v>319</v>
      </c>
      <c r="B7" s="14">
        <v>360</v>
      </c>
      <c r="C7" s="14">
        <v>70</v>
      </c>
      <c r="D7" s="14">
        <v>80</v>
      </c>
      <c r="E7" s="17" t="s">
        <v>318</v>
      </c>
      <c r="F7" s="11">
        <v>3</v>
      </c>
      <c r="G7" s="15" t="s">
        <v>335</v>
      </c>
    </row>
    <row r="8" spans="1:7" ht="98.25" customHeight="1" x14ac:dyDescent="0.25">
      <c r="A8" s="31" t="s">
        <v>320</v>
      </c>
      <c r="B8" s="31">
        <v>285</v>
      </c>
      <c r="C8" s="31">
        <v>200</v>
      </c>
      <c r="D8" s="31">
        <v>200</v>
      </c>
      <c r="E8" s="34" t="s">
        <v>316</v>
      </c>
      <c r="F8" s="31">
        <v>1</v>
      </c>
      <c r="G8" s="33" t="s">
        <v>336</v>
      </c>
    </row>
    <row r="9" spans="1:7" ht="98.25" customHeight="1" x14ac:dyDescent="0.25">
      <c r="A9" s="14" t="s">
        <v>322</v>
      </c>
      <c r="B9" s="14">
        <v>83</v>
      </c>
      <c r="C9" s="14">
        <v>78</v>
      </c>
      <c r="D9" s="14">
        <v>93</v>
      </c>
      <c r="E9" s="17" t="s">
        <v>325</v>
      </c>
      <c r="F9" s="11">
        <v>4</v>
      </c>
      <c r="G9" s="15" t="s">
        <v>337</v>
      </c>
    </row>
    <row r="10" spans="1:7" ht="98.25" customHeight="1" x14ac:dyDescent="0.25">
      <c r="A10" s="14" t="s">
        <v>323</v>
      </c>
      <c r="B10" s="14">
        <v>139</v>
      </c>
      <c r="C10" s="14">
        <v>108</v>
      </c>
      <c r="D10" s="14">
        <v>103</v>
      </c>
      <c r="E10" s="17" t="s">
        <v>325</v>
      </c>
      <c r="F10" s="11">
        <v>1</v>
      </c>
      <c r="G10" s="15" t="s">
        <v>338</v>
      </c>
    </row>
    <row r="11" spans="1:7" ht="96" customHeight="1" x14ac:dyDescent="0.25">
      <c r="A11" s="14" t="s">
        <v>324</v>
      </c>
      <c r="B11" s="14">
        <v>122</v>
      </c>
      <c r="C11" s="14">
        <v>67</v>
      </c>
      <c r="D11" s="14">
        <v>85</v>
      </c>
      <c r="E11" s="17" t="s">
        <v>325</v>
      </c>
      <c r="F11" s="11">
        <v>3</v>
      </c>
      <c r="G11" s="15" t="s">
        <v>339</v>
      </c>
    </row>
    <row r="12" spans="1:7" ht="96" customHeight="1" x14ac:dyDescent="0.25">
      <c r="A12" s="14" t="s">
        <v>340</v>
      </c>
      <c r="B12" s="14">
        <v>240</v>
      </c>
      <c r="C12" s="14">
        <v>240</v>
      </c>
      <c r="D12" s="14">
        <v>165</v>
      </c>
      <c r="E12" s="17" t="s">
        <v>350</v>
      </c>
      <c r="F12" s="11">
        <v>5</v>
      </c>
      <c r="G12" s="15" t="s">
        <v>344</v>
      </c>
    </row>
    <row r="13" spans="1:7" ht="96" customHeight="1" x14ac:dyDescent="0.25">
      <c r="A13" s="14" t="s">
        <v>341</v>
      </c>
      <c r="B13" s="14">
        <v>205</v>
      </c>
      <c r="C13" s="14">
        <v>105</v>
      </c>
      <c r="D13" s="14">
        <v>165</v>
      </c>
      <c r="E13" s="17" t="s">
        <v>350</v>
      </c>
      <c r="F13" s="11">
        <v>3</v>
      </c>
      <c r="G13" s="15" t="s">
        <v>345</v>
      </c>
    </row>
    <row r="14" spans="1:7" ht="96" customHeight="1" x14ac:dyDescent="0.25">
      <c r="A14" s="14" t="s">
        <v>342</v>
      </c>
      <c r="B14" s="14">
        <v>100</v>
      </c>
      <c r="C14" s="14">
        <v>415</v>
      </c>
      <c r="D14" s="14">
        <v>100</v>
      </c>
      <c r="E14" s="17" t="s">
        <v>351</v>
      </c>
      <c r="F14" s="11">
        <v>6</v>
      </c>
      <c r="G14" s="15" t="s">
        <v>346</v>
      </c>
    </row>
    <row r="15" spans="1:7" ht="96" customHeight="1" x14ac:dyDescent="0.25">
      <c r="A15" s="14" t="s">
        <v>343</v>
      </c>
      <c r="B15" s="14">
        <v>330</v>
      </c>
      <c r="C15" s="14">
        <v>305</v>
      </c>
      <c r="D15" s="14">
        <v>200</v>
      </c>
      <c r="E15" s="17" t="s">
        <v>352</v>
      </c>
      <c r="F15" s="11">
        <v>4</v>
      </c>
      <c r="G15" s="15" t="s">
        <v>349</v>
      </c>
    </row>
    <row r="16" spans="1:7" ht="96" customHeight="1" x14ac:dyDescent="0.25">
      <c r="A16" s="14" t="s">
        <v>348</v>
      </c>
      <c r="B16" s="14">
        <v>76</v>
      </c>
      <c r="C16" s="14">
        <v>139</v>
      </c>
      <c r="D16" s="14">
        <v>30</v>
      </c>
      <c r="E16" s="17" t="s">
        <v>353</v>
      </c>
      <c r="F16" s="11">
        <v>3</v>
      </c>
      <c r="G16" s="15" t="s">
        <v>347</v>
      </c>
    </row>
    <row r="17" spans="1:7" ht="96" customHeight="1" x14ac:dyDescent="0.25">
      <c r="A17" s="14" t="s">
        <v>363</v>
      </c>
      <c r="B17" s="14">
        <v>300</v>
      </c>
      <c r="C17" s="14">
        <v>200</v>
      </c>
      <c r="D17" s="14">
        <v>150</v>
      </c>
      <c r="E17" s="17"/>
      <c r="F17" s="11">
        <v>2</v>
      </c>
      <c r="G17" s="15"/>
    </row>
  </sheetData>
  <pageMargins left="0.25" right="0.25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C377-2E4F-4EC1-901A-C500137FB49A}">
  <dimension ref="A1:F160"/>
  <sheetViews>
    <sheetView workbookViewId="0">
      <selection activeCell="D11" sqref="D11"/>
    </sheetView>
  </sheetViews>
  <sheetFormatPr defaultRowHeight="15" x14ac:dyDescent="0.25"/>
  <cols>
    <col min="1" max="1" width="25.28515625" customWidth="1"/>
    <col min="2" max="2" width="18.42578125" customWidth="1"/>
    <col min="3" max="3" width="8.140625" customWidth="1"/>
    <col min="4" max="4" width="12.140625" customWidth="1"/>
    <col min="5" max="5" width="11.5703125" customWidth="1"/>
    <col min="6" max="6" width="16.140625" customWidth="1"/>
  </cols>
  <sheetData>
    <row r="1" spans="1:6" ht="30" x14ac:dyDescent="0.25">
      <c r="A1" s="1" t="s">
        <v>134</v>
      </c>
      <c r="B1" s="1" t="s">
        <v>0</v>
      </c>
      <c r="C1" s="1" t="s">
        <v>207</v>
      </c>
      <c r="D1" s="2" t="s">
        <v>135</v>
      </c>
      <c r="E1" s="1" t="s">
        <v>1</v>
      </c>
      <c r="F1" s="1" t="s">
        <v>2</v>
      </c>
    </row>
    <row r="2" spans="1:6" x14ac:dyDescent="0.25">
      <c r="A2" s="3" t="s">
        <v>11</v>
      </c>
      <c r="B2" s="3" t="s">
        <v>56</v>
      </c>
      <c r="C2" s="3">
        <v>1</v>
      </c>
      <c r="D2" s="3" t="s">
        <v>39</v>
      </c>
      <c r="E2" s="3" t="s">
        <v>93</v>
      </c>
      <c r="F2" s="4">
        <v>45329</v>
      </c>
    </row>
    <row r="3" spans="1:6" x14ac:dyDescent="0.25">
      <c r="A3" s="3" t="s">
        <v>137</v>
      </c>
      <c r="B3" s="3" t="s">
        <v>136</v>
      </c>
      <c r="C3" s="3">
        <v>1</v>
      </c>
      <c r="D3" s="3" t="s">
        <v>39</v>
      </c>
      <c r="E3" s="3" t="s">
        <v>93</v>
      </c>
      <c r="F3" s="4">
        <v>45329</v>
      </c>
    </row>
    <row r="4" spans="1:6" x14ac:dyDescent="0.25">
      <c r="A4" s="3" t="s">
        <v>138</v>
      </c>
      <c r="B4" s="3" t="s">
        <v>139</v>
      </c>
      <c r="C4" s="3">
        <v>1</v>
      </c>
      <c r="D4" s="3" t="s">
        <v>18</v>
      </c>
      <c r="E4" s="3" t="s">
        <v>125</v>
      </c>
      <c r="F4" s="4">
        <v>45340</v>
      </c>
    </row>
    <row r="5" spans="1:6" x14ac:dyDescent="0.25">
      <c r="A5" s="3" t="s">
        <v>142</v>
      </c>
      <c r="B5" s="3" t="s">
        <v>141</v>
      </c>
      <c r="C5" s="3">
        <v>1</v>
      </c>
      <c r="D5" s="3" t="s">
        <v>62</v>
      </c>
      <c r="E5" s="3" t="s">
        <v>128</v>
      </c>
      <c r="F5" s="4">
        <v>45362</v>
      </c>
    </row>
    <row r="6" spans="1:6" x14ac:dyDescent="0.25">
      <c r="A6" s="3" t="s">
        <v>4</v>
      </c>
      <c r="B6" s="3" t="s">
        <v>85</v>
      </c>
      <c r="C6" s="3">
        <v>1</v>
      </c>
      <c r="D6" s="3" t="s">
        <v>30</v>
      </c>
      <c r="E6" s="3" t="s">
        <v>143</v>
      </c>
      <c r="F6" s="4">
        <v>45381</v>
      </c>
    </row>
    <row r="7" spans="1:6" x14ac:dyDescent="0.25">
      <c r="A7" s="3" t="s">
        <v>11</v>
      </c>
      <c r="B7" s="3" t="s">
        <v>56</v>
      </c>
      <c r="C7" s="3">
        <v>1</v>
      </c>
      <c r="D7" s="3" t="s">
        <v>45</v>
      </c>
      <c r="E7" s="3" t="s">
        <v>8</v>
      </c>
      <c r="F7" s="4">
        <v>45389</v>
      </c>
    </row>
    <row r="8" spans="1:6" x14ac:dyDescent="0.25">
      <c r="A8" s="3" t="s">
        <v>11</v>
      </c>
      <c r="B8" s="3" t="s">
        <v>12</v>
      </c>
      <c r="C8" s="3">
        <v>1</v>
      </c>
      <c r="D8" s="3" t="s">
        <v>75</v>
      </c>
      <c r="E8" s="3" t="s">
        <v>111</v>
      </c>
      <c r="F8" s="4">
        <v>45394</v>
      </c>
    </row>
    <row r="9" spans="1:6" x14ac:dyDescent="0.25">
      <c r="A9" s="3" t="s">
        <v>5</v>
      </c>
      <c r="B9" s="3" t="s">
        <v>6</v>
      </c>
      <c r="C9" s="3">
        <v>1</v>
      </c>
      <c r="D9" s="3" t="s">
        <v>7</v>
      </c>
      <c r="E9" s="3" t="s">
        <v>63</v>
      </c>
      <c r="F9" s="4">
        <v>45396</v>
      </c>
    </row>
    <row r="10" spans="1:6" x14ac:dyDescent="0.25">
      <c r="A10" s="3" t="s">
        <v>5</v>
      </c>
      <c r="B10" s="3" t="s">
        <v>6</v>
      </c>
      <c r="C10" s="3">
        <v>1</v>
      </c>
      <c r="D10" s="3" t="s">
        <v>7</v>
      </c>
      <c r="E10" s="3" t="s">
        <v>63</v>
      </c>
      <c r="F10" s="4">
        <v>45396</v>
      </c>
    </row>
    <row r="11" spans="1:6" x14ac:dyDescent="0.25">
      <c r="A11" s="3" t="s">
        <v>5</v>
      </c>
      <c r="B11" s="3" t="s">
        <v>6</v>
      </c>
      <c r="C11" s="3">
        <v>1</v>
      </c>
      <c r="D11" s="3" t="s">
        <v>7</v>
      </c>
      <c r="E11" s="3" t="s">
        <v>63</v>
      </c>
      <c r="F11" s="4">
        <v>45396</v>
      </c>
    </row>
    <row r="12" spans="1:6" x14ac:dyDescent="0.25">
      <c r="A12" s="3" t="s">
        <v>5</v>
      </c>
      <c r="B12" s="3" t="s">
        <v>6</v>
      </c>
      <c r="C12" s="3">
        <v>1</v>
      </c>
      <c r="D12" s="3" t="s">
        <v>7</v>
      </c>
      <c r="E12" s="3" t="s">
        <v>63</v>
      </c>
      <c r="F12" s="4">
        <v>45396</v>
      </c>
    </row>
    <row r="13" spans="1:6" x14ac:dyDescent="0.25">
      <c r="A13" s="3" t="s">
        <v>5</v>
      </c>
      <c r="B13" s="3" t="s">
        <v>6</v>
      </c>
      <c r="C13" s="3">
        <v>1</v>
      </c>
      <c r="D13" s="3" t="s">
        <v>7</v>
      </c>
      <c r="E13" s="3" t="s">
        <v>63</v>
      </c>
      <c r="F13" s="4">
        <v>45396</v>
      </c>
    </row>
    <row r="14" spans="1:6" x14ac:dyDescent="0.25">
      <c r="A14" s="3" t="s">
        <v>5</v>
      </c>
      <c r="B14" s="3" t="s">
        <v>6</v>
      </c>
      <c r="C14" s="3">
        <v>1</v>
      </c>
      <c r="D14" s="3" t="s">
        <v>7</v>
      </c>
      <c r="E14" s="3" t="s">
        <v>63</v>
      </c>
      <c r="F14" s="4">
        <v>45396</v>
      </c>
    </row>
    <row r="15" spans="1:6" x14ac:dyDescent="0.25">
      <c r="A15" s="3" t="s">
        <v>5</v>
      </c>
      <c r="B15" s="3" t="s">
        <v>6</v>
      </c>
      <c r="C15" s="3">
        <v>1</v>
      </c>
      <c r="D15" s="3" t="s">
        <v>7</v>
      </c>
      <c r="E15" s="3" t="s">
        <v>63</v>
      </c>
      <c r="F15" s="4">
        <v>45396</v>
      </c>
    </row>
    <row r="16" spans="1:6" x14ac:dyDescent="0.25">
      <c r="A16" s="3" t="s">
        <v>5</v>
      </c>
      <c r="B16" s="3" t="s">
        <v>6</v>
      </c>
      <c r="C16" s="3">
        <v>1</v>
      </c>
      <c r="D16" s="3" t="s">
        <v>7</v>
      </c>
      <c r="E16" s="3" t="s">
        <v>63</v>
      </c>
      <c r="F16" s="4">
        <v>45396</v>
      </c>
    </row>
    <row r="17" spans="1:6" x14ac:dyDescent="0.25">
      <c r="A17" s="3" t="s">
        <v>5</v>
      </c>
      <c r="B17" s="3" t="s">
        <v>6</v>
      </c>
      <c r="C17" s="3">
        <v>1</v>
      </c>
      <c r="D17" s="3" t="s">
        <v>7</v>
      </c>
      <c r="E17" s="3" t="s">
        <v>63</v>
      </c>
      <c r="F17" s="4">
        <v>45396</v>
      </c>
    </row>
    <row r="18" spans="1:6" x14ac:dyDescent="0.25">
      <c r="A18" s="3" t="s">
        <v>5</v>
      </c>
      <c r="B18" s="3" t="s">
        <v>6</v>
      </c>
      <c r="C18" s="3">
        <v>1</v>
      </c>
      <c r="D18" s="3" t="s">
        <v>7</v>
      </c>
      <c r="E18" s="3" t="s">
        <v>63</v>
      </c>
      <c r="F18" s="4">
        <v>45396</v>
      </c>
    </row>
    <row r="19" spans="1:6" x14ac:dyDescent="0.25">
      <c r="A19" s="3" t="s">
        <v>5</v>
      </c>
      <c r="B19" s="3" t="s">
        <v>6</v>
      </c>
      <c r="C19" s="3">
        <v>1</v>
      </c>
      <c r="D19" s="3" t="s">
        <v>7</v>
      </c>
      <c r="E19" s="3" t="s">
        <v>63</v>
      </c>
      <c r="F19" s="4">
        <v>45396</v>
      </c>
    </row>
    <row r="20" spans="1:6" x14ac:dyDescent="0.25">
      <c r="A20" s="3" t="s">
        <v>5</v>
      </c>
      <c r="B20" s="3" t="s">
        <v>6</v>
      </c>
      <c r="C20" s="3">
        <v>1</v>
      </c>
      <c r="D20" s="3" t="s">
        <v>7</v>
      </c>
      <c r="E20" s="3" t="s">
        <v>63</v>
      </c>
      <c r="F20" s="4">
        <v>45396</v>
      </c>
    </row>
    <row r="21" spans="1:6" x14ac:dyDescent="0.25">
      <c r="A21" s="3" t="s">
        <v>5</v>
      </c>
      <c r="B21" s="3" t="s">
        <v>6</v>
      </c>
      <c r="C21" s="3">
        <v>1</v>
      </c>
      <c r="D21" s="3" t="s">
        <v>7</v>
      </c>
      <c r="E21" s="3" t="s">
        <v>63</v>
      </c>
      <c r="F21" s="4">
        <v>45396</v>
      </c>
    </row>
    <row r="22" spans="1:6" x14ac:dyDescent="0.25">
      <c r="A22" s="3" t="s">
        <v>5</v>
      </c>
      <c r="B22" s="3" t="s">
        <v>6</v>
      </c>
      <c r="C22" s="3">
        <v>1</v>
      </c>
      <c r="D22" s="3" t="s">
        <v>7</v>
      </c>
      <c r="E22" s="3" t="s">
        <v>63</v>
      </c>
      <c r="F22" s="4">
        <v>45396</v>
      </c>
    </row>
    <row r="23" spans="1:6" x14ac:dyDescent="0.25">
      <c r="A23" s="3" t="s">
        <v>5</v>
      </c>
      <c r="B23" s="3" t="s">
        <v>6</v>
      </c>
      <c r="C23" s="3">
        <v>1</v>
      </c>
      <c r="D23" s="3" t="s">
        <v>7</v>
      </c>
      <c r="E23" s="3" t="s">
        <v>63</v>
      </c>
      <c r="F23" s="4">
        <v>45396</v>
      </c>
    </row>
    <row r="24" spans="1:6" x14ac:dyDescent="0.25">
      <c r="A24" s="3" t="s">
        <v>5</v>
      </c>
      <c r="B24" s="3" t="s">
        <v>6</v>
      </c>
      <c r="C24" s="3">
        <v>1</v>
      </c>
      <c r="D24" s="3" t="s">
        <v>7</v>
      </c>
      <c r="E24" s="3" t="s">
        <v>63</v>
      </c>
      <c r="F24" s="4">
        <v>45396</v>
      </c>
    </row>
    <row r="25" spans="1:6" x14ac:dyDescent="0.25">
      <c r="A25" s="3" t="s">
        <v>5</v>
      </c>
      <c r="B25" s="3" t="s">
        <v>6</v>
      </c>
      <c r="C25" s="3">
        <v>1</v>
      </c>
      <c r="D25" s="3" t="s">
        <v>7</v>
      </c>
      <c r="E25" s="3" t="s">
        <v>63</v>
      </c>
      <c r="F25" s="4">
        <v>45396</v>
      </c>
    </row>
    <row r="26" spans="1:6" x14ac:dyDescent="0.25">
      <c r="A26" s="3" t="s">
        <v>145</v>
      </c>
      <c r="B26" s="3" t="s">
        <v>144</v>
      </c>
      <c r="C26" s="3">
        <v>1</v>
      </c>
      <c r="D26" s="3" t="s">
        <v>38</v>
      </c>
      <c r="E26" s="3" t="s">
        <v>122</v>
      </c>
      <c r="F26" s="4">
        <v>45408</v>
      </c>
    </row>
    <row r="27" spans="1:6" x14ac:dyDescent="0.25">
      <c r="A27" s="3" t="s">
        <v>146</v>
      </c>
      <c r="B27" s="3" t="s">
        <v>141</v>
      </c>
      <c r="C27" s="3">
        <v>1</v>
      </c>
      <c r="D27" s="3" t="s">
        <v>30</v>
      </c>
      <c r="E27" s="3" t="s">
        <v>147</v>
      </c>
      <c r="F27" s="4">
        <v>45416</v>
      </c>
    </row>
    <row r="28" spans="1:6" x14ac:dyDescent="0.25">
      <c r="A28" s="3" t="s">
        <v>11</v>
      </c>
      <c r="B28" s="3" t="s">
        <v>56</v>
      </c>
      <c r="C28" s="3">
        <v>1</v>
      </c>
      <c r="D28" s="3" t="s">
        <v>103</v>
      </c>
      <c r="E28" s="3" t="s">
        <v>129</v>
      </c>
      <c r="F28" s="4">
        <v>45421</v>
      </c>
    </row>
    <row r="29" spans="1:6" x14ac:dyDescent="0.25">
      <c r="A29" s="3" t="s">
        <v>149</v>
      </c>
      <c r="B29" s="3" t="s">
        <v>148</v>
      </c>
      <c r="C29" s="3">
        <v>1</v>
      </c>
      <c r="D29" s="3" t="s">
        <v>23</v>
      </c>
      <c r="E29" s="3" t="s">
        <v>92</v>
      </c>
      <c r="F29" s="4">
        <v>45423</v>
      </c>
    </row>
    <row r="30" spans="1:6" x14ac:dyDescent="0.25">
      <c r="A30" s="3" t="s">
        <v>35</v>
      </c>
      <c r="B30" s="3" t="s">
        <v>12</v>
      </c>
      <c r="C30" s="3">
        <v>1</v>
      </c>
      <c r="D30" s="3" t="s">
        <v>18</v>
      </c>
      <c r="E30" s="3" t="s">
        <v>76</v>
      </c>
      <c r="F30" s="4">
        <v>45424</v>
      </c>
    </row>
    <row r="31" spans="1:6" x14ac:dyDescent="0.25">
      <c r="A31" s="3" t="s">
        <v>11</v>
      </c>
      <c r="B31" s="3" t="s">
        <v>54</v>
      </c>
      <c r="C31" s="3">
        <v>1</v>
      </c>
      <c r="D31" s="3" t="s">
        <v>23</v>
      </c>
      <c r="E31" s="3" t="s">
        <v>64</v>
      </c>
      <c r="F31" s="4">
        <v>45428</v>
      </c>
    </row>
    <row r="32" spans="1:6" x14ac:dyDescent="0.25">
      <c r="A32" s="3" t="s">
        <v>11</v>
      </c>
      <c r="B32" s="3" t="s">
        <v>150</v>
      </c>
      <c r="C32" s="3">
        <v>1</v>
      </c>
      <c r="D32" s="3" t="s">
        <v>151</v>
      </c>
      <c r="E32" s="3" t="s">
        <v>87</v>
      </c>
      <c r="F32" s="4">
        <v>45429</v>
      </c>
    </row>
    <row r="33" spans="1:6" x14ac:dyDescent="0.25">
      <c r="A33" s="3" t="s">
        <v>101</v>
      </c>
      <c r="B33" s="3" t="s">
        <v>102</v>
      </c>
      <c r="C33" s="3">
        <v>1</v>
      </c>
      <c r="D33" s="3" t="s">
        <v>103</v>
      </c>
      <c r="E33" s="3" t="s">
        <v>46</v>
      </c>
      <c r="F33" s="4">
        <v>45430</v>
      </c>
    </row>
    <row r="34" spans="1:6" x14ac:dyDescent="0.25">
      <c r="A34" s="3" t="s">
        <v>5</v>
      </c>
      <c r="B34" s="3" t="s">
        <v>117</v>
      </c>
      <c r="C34" s="3">
        <v>1</v>
      </c>
      <c r="D34" s="3" t="s">
        <v>29</v>
      </c>
      <c r="E34" s="3" t="s">
        <v>58</v>
      </c>
      <c r="F34" s="4">
        <v>45436</v>
      </c>
    </row>
    <row r="35" spans="1:6" x14ac:dyDescent="0.25">
      <c r="A35" s="3" t="s">
        <v>5</v>
      </c>
      <c r="B35" s="3" t="s">
        <v>152</v>
      </c>
      <c r="C35" s="3">
        <v>1</v>
      </c>
      <c r="D35" s="3" t="s">
        <v>29</v>
      </c>
      <c r="E35" s="3" t="s">
        <v>58</v>
      </c>
      <c r="F35" s="4">
        <v>45436</v>
      </c>
    </row>
    <row r="36" spans="1:6" x14ac:dyDescent="0.25">
      <c r="A36" s="3" t="s">
        <v>5</v>
      </c>
      <c r="B36" s="3" t="s">
        <v>116</v>
      </c>
      <c r="C36" s="3">
        <v>1</v>
      </c>
      <c r="D36" s="3" t="s">
        <v>29</v>
      </c>
      <c r="E36" s="3" t="s">
        <v>58</v>
      </c>
      <c r="F36" s="4">
        <v>45436</v>
      </c>
    </row>
    <row r="37" spans="1:6" x14ac:dyDescent="0.25">
      <c r="A37" s="3" t="s">
        <v>11</v>
      </c>
      <c r="B37" s="3" t="s">
        <v>150</v>
      </c>
      <c r="C37" s="3">
        <v>1</v>
      </c>
      <c r="D37" s="3" t="s">
        <v>34</v>
      </c>
      <c r="E37" s="3" t="s">
        <v>91</v>
      </c>
      <c r="F37" s="4">
        <v>45438</v>
      </c>
    </row>
    <row r="38" spans="1:6" x14ac:dyDescent="0.25">
      <c r="A38" s="3" t="s">
        <v>11</v>
      </c>
      <c r="B38" s="3" t="s">
        <v>12</v>
      </c>
      <c r="C38" s="3">
        <v>1</v>
      </c>
      <c r="D38" s="3" t="s">
        <v>39</v>
      </c>
      <c r="E38" s="3" t="s">
        <v>153</v>
      </c>
      <c r="F38" s="4">
        <v>45438</v>
      </c>
    </row>
    <row r="39" spans="1:6" x14ac:dyDescent="0.25">
      <c r="A39" s="3" t="s">
        <v>155</v>
      </c>
      <c r="B39" s="3" t="s">
        <v>154</v>
      </c>
      <c r="C39" s="3">
        <v>1</v>
      </c>
      <c r="D39" s="3" t="s">
        <v>29</v>
      </c>
      <c r="E39" s="3" t="s">
        <v>58</v>
      </c>
      <c r="F39" s="4">
        <v>45440</v>
      </c>
    </row>
    <row r="40" spans="1:6" x14ac:dyDescent="0.25">
      <c r="A40" s="3" t="s">
        <v>157</v>
      </c>
      <c r="B40" s="3" t="s">
        <v>156</v>
      </c>
      <c r="C40" s="3">
        <v>1</v>
      </c>
      <c r="D40" s="3" t="s">
        <v>71</v>
      </c>
      <c r="E40" s="3" t="s">
        <v>120</v>
      </c>
      <c r="F40" s="4">
        <v>45459</v>
      </c>
    </row>
    <row r="41" spans="1:6" x14ac:dyDescent="0.25">
      <c r="A41" s="3" t="s">
        <v>4</v>
      </c>
      <c r="B41" s="3" t="s">
        <v>158</v>
      </c>
      <c r="C41" s="3">
        <v>1</v>
      </c>
      <c r="D41" s="3" t="s">
        <v>25</v>
      </c>
      <c r="E41" s="3" t="s">
        <v>81</v>
      </c>
      <c r="F41" s="4">
        <v>45480</v>
      </c>
    </row>
    <row r="42" spans="1:6" x14ac:dyDescent="0.25">
      <c r="A42" s="3" t="s">
        <v>159</v>
      </c>
      <c r="B42" s="3" t="s">
        <v>160</v>
      </c>
      <c r="C42" s="3">
        <v>1</v>
      </c>
      <c r="D42" s="3" t="s">
        <v>25</v>
      </c>
      <c r="E42" s="3" t="s">
        <v>81</v>
      </c>
      <c r="F42" s="4">
        <v>45480</v>
      </c>
    </row>
    <row r="43" spans="1:6" x14ac:dyDescent="0.25">
      <c r="A43" s="3" t="s">
        <v>5</v>
      </c>
      <c r="B43" s="3" t="s">
        <v>6</v>
      </c>
      <c r="C43" s="3">
        <v>1</v>
      </c>
      <c r="D43" s="3" t="s">
        <v>121</v>
      </c>
      <c r="E43" s="3" t="s">
        <v>100</v>
      </c>
      <c r="F43" s="4">
        <v>45481</v>
      </c>
    </row>
    <row r="44" spans="1:6" x14ac:dyDescent="0.25">
      <c r="A44" s="3" t="s">
        <v>5</v>
      </c>
      <c r="B44" s="3" t="s">
        <v>6</v>
      </c>
      <c r="C44" s="3">
        <v>1</v>
      </c>
      <c r="D44" s="3" t="s">
        <v>121</v>
      </c>
      <c r="E44" s="3" t="s">
        <v>100</v>
      </c>
      <c r="F44" s="4">
        <v>45481</v>
      </c>
    </row>
    <row r="45" spans="1:6" x14ac:dyDescent="0.25">
      <c r="A45" s="3" t="s">
        <v>5</v>
      </c>
      <c r="B45" s="3" t="s">
        <v>6</v>
      </c>
      <c r="C45" s="3">
        <v>1</v>
      </c>
      <c r="D45" s="3" t="s">
        <v>121</v>
      </c>
      <c r="E45" s="3" t="s">
        <v>100</v>
      </c>
      <c r="F45" s="4">
        <v>45484</v>
      </c>
    </row>
    <row r="46" spans="1:6" x14ac:dyDescent="0.25">
      <c r="A46" s="3" t="s">
        <v>11</v>
      </c>
      <c r="B46" s="3" t="s">
        <v>12</v>
      </c>
      <c r="C46" s="3">
        <v>1</v>
      </c>
      <c r="D46" s="3" t="s">
        <v>34</v>
      </c>
      <c r="E46" s="3" t="s">
        <v>72</v>
      </c>
      <c r="F46" s="4">
        <v>45487</v>
      </c>
    </row>
    <row r="47" spans="1:6" x14ac:dyDescent="0.25">
      <c r="A47" s="3" t="s">
        <v>5</v>
      </c>
      <c r="B47" s="3" t="s">
        <v>6</v>
      </c>
      <c r="C47" s="3">
        <v>1</v>
      </c>
      <c r="D47" s="3" t="s">
        <v>53</v>
      </c>
      <c r="E47" s="3" t="s">
        <v>95</v>
      </c>
      <c r="F47" s="4">
        <v>45497</v>
      </c>
    </row>
    <row r="48" spans="1:6" x14ac:dyDescent="0.25">
      <c r="A48" s="3" t="s">
        <v>5</v>
      </c>
      <c r="B48" s="3" t="s">
        <v>6</v>
      </c>
      <c r="C48" s="3">
        <v>1</v>
      </c>
      <c r="D48" s="3" t="s">
        <v>53</v>
      </c>
      <c r="E48" s="3" t="s">
        <v>95</v>
      </c>
      <c r="F48" s="4">
        <v>45497</v>
      </c>
    </row>
    <row r="49" spans="1:6" x14ac:dyDescent="0.25">
      <c r="A49" s="3" t="s">
        <v>5</v>
      </c>
      <c r="B49" s="3" t="s">
        <v>6</v>
      </c>
      <c r="C49" s="3">
        <v>1</v>
      </c>
      <c r="D49" s="3" t="s">
        <v>53</v>
      </c>
      <c r="E49" s="3" t="s">
        <v>95</v>
      </c>
      <c r="F49" s="4">
        <v>45497</v>
      </c>
    </row>
    <row r="50" spans="1:6" x14ac:dyDescent="0.25">
      <c r="A50" s="3" t="s">
        <v>161</v>
      </c>
      <c r="B50" s="3" t="s">
        <v>6</v>
      </c>
      <c r="C50" s="3">
        <v>1</v>
      </c>
      <c r="D50" s="3" t="s">
        <v>53</v>
      </c>
      <c r="E50" s="3" t="s">
        <v>95</v>
      </c>
      <c r="F50" s="4">
        <v>45498</v>
      </c>
    </row>
    <row r="51" spans="1:6" x14ac:dyDescent="0.25">
      <c r="A51" s="3" t="s">
        <v>4</v>
      </c>
      <c r="B51" s="3" t="s">
        <v>97</v>
      </c>
      <c r="C51" s="3">
        <v>1</v>
      </c>
      <c r="D51" s="3" t="s">
        <v>53</v>
      </c>
      <c r="E51" s="3" t="s">
        <v>95</v>
      </c>
      <c r="F51" s="4">
        <v>45499</v>
      </c>
    </row>
    <row r="52" spans="1:6" x14ac:dyDescent="0.25">
      <c r="A52" s="3" t="s">
        <v>11</v>
      </c>
      <c r="B52" s="3" t="s">
        <v>56</v>
      </c>
      <c r="C52" s="3">
        <v>1</v>
      </c>
      <c r="D52" s="3" t="s">
        <v>94</v>
      </c>
      <c r="E52" s="3" t="s">
        <v>31</v>
      </c>
      <c r="F52" s="4">
        <v>45501</v>
      </c>
    </row>
    <row r="53" spans="1:6" x14ac:dyDescent="0.25">
      <c r="A53" s="3" t="s">
        <v>4</v>
      </c>
      <c r="B53" s="3" t="s">
        <v>85</v>
      </c>
      <c r="C53" s="3">
        <v>1</v>
      </c>
      <c r="D53" s="3" t="s">
        <v>53</v>
      </c>
      <c r="E53" s="3" t="s">
        <v>95</v>
      </c>
      <c r="F53" s="4">
        <v>45505</v>
      </c>
    </row>
    <row r="54" spans="1:6" x14ac:dyDescent="0.25">
      <c r="A54" s="3" t="s">
        <v>11</v>
      </c>
      <c r="B54" s="3" t="s">
        <v>56</v>
      </c>
      <c r="C54" s="3">
        <v>1</v>
      </c>
      <c r="D54" s="3" t="s">
        <v>94</v>
      </c>
      <c r="E54" s="3" t="s">
        <v>89</v>
      </c>
      <c r="F54" s="4">
        <v>45522</v>
      </c>
    </row>
    <row r="55" spans="1:6" x14ac:dyDescent="0.25">
      <c r="A55" s="3" t="s">
        <v>11</v>
      </c>
      <c r="B55" s="3" t="s">
        <v>12</v>
      </c>
      <c r="C55" s="3">
        <v>1</v>
      </c>
      <c r="D55" s="3" t="s">
        <v>9</v>
      </c>
      <c r="E55" s="3" t="s">
        <v>162</v>
      </c>
      <c r="F55" s="4">
        <v>45528</v>
      </c>
    </row>
    <row r="56" spans="1:6" x14ac:dyDescent="0.25">
      <c r="A56" s="3" t="s">
        <v>5</v>
      </c>
      <c r="B56" s="3">
        <v>5322121</v>
      </c>
      <c r="C56" s="3">
        <v>1</v>
      </c>
      <c r="D56" s="3" t="s">
        <v>36</v>
      </c>
      <c r="E56" s="3" t="s">
        <v>163</v>
      </c>
      <c r="F56" s="4">
        <v>45533</v>
      </c>
    </row>
    <row r="57" spans="1:6" x14ac:dyDescent="0.25">
      <c r="A57" s="3" t="s">
        <v>5</v>
      </c>
      <c r="B57" s="3">
        <v>5322121</v>
      </c>
      <c r="C57" s="3">
        <v>1</v>
      </c>
      <c r="D57" s="3" t="s">
        <v>36</v>
      </c>
      <c r="E57" s="3" t="s">
        <v>163</v>
      </c>
      <c r="F57" s="4">
        <v>45533</v>
      </c>
    </row>
    <row r="58" spans="1:6" x14ac:dyDescent="0.25">
      <c r="A58" s="3" t="s">
        <v>5</v>
      </c>
      <c r="B58" s="3">
        <v>5322121</v>
      </c>
      <c r="C58" s="3">
        <v>1</v>
      </c>
      <c r="D58" s="3" t="s">
        <v>36</v>
      </c>
      <c r="E58" s="3" t="s">
        <v>163</v>
      </c>
      <c r="F58" s="4">
        <v>45533</v>
      </c>
    </row>
    <row r="59" spans="1:6" x14ac:dyDescent="0.25">
      <c r="A59" s="3" t="s">
        <v>5</v>
      </c>
      <c r="B59" s="3">
        <v>5322121</v>
      </c>
      <c r="C59" s="3">
        <v>1</v>
      </c>
      <c r="D59" s="3" t="s">
        <v>36</v>
      </c>
      <c r="E59" s="3" t="s">
        <v>163</v>
      </c>
      <c r="F59" s="4">
        <v>45533</v>
      </c>
    </row>
    <row r="60" spans="1:6" x14ac:dyDescent="0.25">
      <c r="A60" s="3" t="s">
        <v>5</v>
      </c>
      <c r="B60" s="3">
        <v>5322121</v>
      </c>
      <c r="C60" s="3">
        <v>1</v>
      </c>
      <c r="D60" s="3" t="s">
        <v>36</v>
      </c>
      <c r="E60" s="3" t="s">
        <v>163</v>
      </c>
      <c r="F60" s="4">
        <v>45533</v>
      </c>
    </row>
    <row r="61" spans="1:6" x14ac:dyDescent="0.25">
      <c r="A61" s="3" t="s">
        <v>5</v>
      </c>
      <c r="B61" s="3">
        <v>5322121</v>
      </c>
      <c r="C61" s="3">
        <v>1</v>
      </c>
      <c r="D61" s="3" t="s">
        <v>36</v>
      </c>
      <c r="E61" s="3" t="s">
        <v>163</v>
      </c>
      <c r="F61" s="4">
        <v>45533</v>
      </c>
    </row>
    <row r="62" spans="1:6" x14ac:dyDescent="0.25">
      <c r="A62" s="3" t="s">
        <v>5</v>
      </c>
      <c r="B62" s="3">
        <v>5322121</v>
      </c>
      <c r="C62" s="3">
        <v>1</v>
      </c>
      <c r="D62" s="3" t="s">
        <v>36</v>
      </c>
      <c r="E62" s="3" t="s">
        <v>163</v>
      </c>
      <c r="F62" s="4">
        <v>45533</v>
      </c>
    </row>
    <row r="63" spans="1:6" x14ac:dyDescent="0.25">
      <c r="A63" s="3" t="s">
        <v>11</v>
      </c>
      <c r="B63" s="3" t="s">
        <v>54</v>
      </c>
      <c r="C63" s="3">
        <v>1</v>
      </c>
      <c r="D63" s="3" t="s">
        <v>18</v>
      </c>
      <c r="E63" s="3" t="s">
        <v>43</v>
      </c>
      <c r="F63" s="4">
        <v>45536</v>
      </c>
    </row>
    <row r="64" spans="1:6" x14ac:dyDescent="0.25">
      <c r="A64" s="3" t="s">
        <v>11</v>
      </c>
      <c r="B64" s="3" t="s">
        <v>12</v>
      </c>
      <c r="C64" s="3">
        <v>1</v>
      </c>
      <c r="D64" s="3" t="s">
        <v>114</v>
      </c>
      <c r="E64" s="3" t="s">
        <v>74</v>
      </c>
      <c r="F64" s="4">
        <v>45540</v>
      </c>
    </row>
    <row r="65" spans="1:6" x14ac:dyDescent="0.25">
      <c r="A65" s="3" t="s">
        <v>165</v>
      </c>
      <c r="B65" s="3" t="s">
        <v>164</v>
      </c>
      <c r="C65" s="3">
        <v>1</v>
      </c>
      <c r="D65" s="3" t="s">
        <v>7</v>
      </c>
      <c r="E65" s="3" t="s">
        <v>8</v>
      </c>
      <c r="F65" s="4">
        <v>45540</v>
      </c>
    </row>
    <row r="66" spans="1:6" x14ac:dyDescent="0.25">
      <c r="A66" s="3" t="s">
        <v>4</v>
      </c>
      <c r="B66" s="3" t="s">
        <v>126</v>
      </c>
      <c r="C66" s="3">
        <v>1</v>
      </c>
      <c r="D66" s="3" t="s">
        <v>69</v>
      </c>
      <c r="E66" s="3" t="s">
        <v>70</v>
      </c>
      <c r="F66" s="4">
        <v>45545</v>
      </c>
    </row>
    <row r="67" spans="1:6" x14ac:dyDescent="0.25">
      <c r="A67" s="3" t="s">
        <v>5</v>
      </c>
      <c r="B67" s="3" t="s">
        <v>6</v>
      </c>
      <c r="C67" s="3">
        <v>1</v>
      </c>
      <c r="D67" s="3" t="s">
        <v>167</v>
      </c>
      <c r="E67" s="3" t="s">
        <v>83</v>
      </c>
      <c r="F67" s="4">
        <v>45551</v>
      </c>
    </row>
    <row r="68" spans="1:6" x14ac:dyDescent="0.25">
      <c r="A68" s="3" t="s">
        <v>11</v>
      </c>
      <c r="B68" s="3" t="s">
        <v>150</v>
      </c>
      <c r="C68" s="3">
        <v>1</v>
      </c>
      <c r="D68" s="3" t="s">
        <v>3</v>
      </c>
      <c r="E68" s="3" t="s">
        <v>44</v>
      </c>
      <c r="F68" s="4">
        <v>45552</v>
      </c>
    </row>
    <row r="69" spans="1:6" x14ac:dyDescent="0.25">
      <c r="A69" s="3" t="s">
        <v>11</v>
      </c>
      <c r="B69" s="3" t="s">
        <v>54</v>
      </c>
      <c r="C69" s="3">
        <v>1</v>
      </c>
      <c r="D69" s="3" t="s">
        <v>15</v>
      </c>
      <c r="E69" s="3" t="s">
        <v>88</v>
      </c>
      <c r="F69" s="4">
        <v>45557</v>
      </c>
    </row>
    <row r="70" spans="1:6" x14ac:dyDescent="0.25">
      <c r="A70" s="3" t="s">
        <v>169</v>
      </c>
      <c r="B70" s="3" t="s">
        <v>168</v>
      </c>
      <c r="C70" s="3">
        <v>1</v>
      </c>
      <c r="D70" s="3" t="s">
        <v>32</v>
      </c>
      <c r="E70" s="3" t="s">
        <v>127</v>
      </c>
      <c r="F70" s="4">
        <v>45558</v>
      </c>
    </row>
    <row r="71" spans="1:6" x14ac:dyDescent="0.25">
      <c r="A71" s="3" t="s">
        <v>5</v>
      </c>
      <c r="B71" s="3" t="s">
        <v>6</v>
      </c>
      <c r="C71" s="3">
        <v>1</v>
      </c>
      <c r="D71" s="3" t="s">
        <v>113</v>
      </c>
      <c r="E71" s="3" t="s">
        <v>89</v>
      </c>
      <c r="F71" s="4">
        <v>45577</v>
      </c>
    </row>
    <row r="72" spans="1:6" x14ac:dyDescent="0.25">
      <c r="A72" s="3" t="s">
        <v>5</v>
      </c>
      <c r="B72" s="3" t="s">
        <v>170</v>
      </c>
      <c r="C72" s="3">
        <v>1</v>
      </c>
      <c r="D72" s="3" t="s">
        <v>113</v>
      </c>
      <c r="E72" s="3" t="s">
        <v>89</v>
      </c>
      <c r="F72" s="4">
        <v>45577</v>
      </c>
    </row>
    <row r="73" spans="1:6" x14ac:dyDescent="0.25">
      <c r="A73" s="3" t="s">
        <v>172</v>
      </c>
      <c r="B73" s="3" t="s">
        <v>171</v>
      </c>
      <c r="C73" s="3">
        <v>1</v>
      </c>
      <c r="D73" s="3" t="s">
        <v>173</v>
      </c>
      <c r="E73" s="3" t="s">
        <v>55</v>
      </c>
      <c r="F73" s="4">
        <v>45579</v>
      </c>
    </row>
    <row r="74" spans="1:6" x14ac:dyDescent="0.25">
      <c r="A74" s="3" t="s">
        <v>172</v>
      </c>
      <c r="B74" s="3" t="s">
        <v>171</v>
      </c>
      <c r="C74" s="3">
        <v>1</v>
      </c>
      <c r="D74" s="3" t="s">
        <v>173</v>
      </c>
      <c r="E74" s="3" t="s">
        <v>55</v>
      </c>
      <c r="F74" s="4">
        <v>45579</v>
      </c>
    </row>
    <row r="75" spans="1:6" x14ac:dyDescent="0.25">
      <c r="A75" s="3" t="s">
        <v>172</v>
      </c>
      <c r="B75" s="3" t="s">
        <v>171</v>
      </c>
      <c r="C75" s="3">
        <v>1</v>
      </c>
      <c r="D75" s="3" t="s">
        <v>173</v>
      </c>
      <c r="E75" s="3" t="s">
        <v>55</v>
      </c>
      <c r="F75" s="4">
        <v>45579</v>
      </c>
    </row>
    <row r="76" spans="1:6" x14ac:dyDescent="0.25">
      <c r="A76" s="3" t="s">
        <v>5</v>
      </c>
      <c r="B76" s="3" t="s">
        <v>116</v>
      </c>
      <c r="C76" s="3">
        <v>1</v>
      </c>
      <c r="D76" s="3" t="s">
        <v>103</v>
      </c>
      <c r="E76" s="3" t="s">
        <v>115</v>
      </c>
      <c r="F76" s="4">
        <v>45594</v>
      </c>
    </row>
    <row r="77" spans="1:6" x14ac:dyDescent="0.25">
      <c r="A77" s="3" t="s">
        <v>5</v>
      </c>
      <c r="B77" s="3" t="s">
        <v>117</v>
      </c>
      <c r="C77" s="3">
        <v>1</v>
      </c>
      <c r="D77" s="3" t="s">
        <v>103</v>
      </c>
      <c r="E77" s="3" t="s">
        <v>115</v>
      </c>
      <c r="F77" s="4">
        <v>45594</v>
      </c>
    </row>
    <row r="78" spans="1:6" x14ac:dyDescent="0.25">
      <c r="A78" s="3" t="s">
        <v>5</v>
      </c>
      <c r="B78" s="3" t="s">
        <v>116</v>
      </c>
      <c r="C78" s="3">
        <v>1</v>
      </c>
      <c r="D78" s="3" t="s">
        <v>103</v>
      </c>
      <c r="E78" s="3" t="s">
        <v>115</v>
      </c>
      <c r="F78" s="4">
        <v>45594</v>
      </c>
    </row>
    <row r="79" spans="1:6" x14ac:dyDescent="0.25">
      <c r="A79" s="3" t="s">
        <v>5</v>
      </c>
      <c r="B79" s="3" t="s">
        <v>117</v>
      </c>
      <c r="C79" s="3">
        <v>1</v>
      </c>
      <c r="D79" s="3" t="s">
        <v>103</v>
      </c>
      <c r="E79" s="3" t="s">
        <v>115</v>
      </c>
      <c r="F79" s="4">
        <v>45594</v>
      </c>
    </row>
    <row r="80" spans="1:6" x14ac:dyDescent="0.25">
      <c r="A80" s="3" t="s">
        <v>5</v>
      </c>
      <c r="B80" s="3" t="s">
        <v>175</v>
      </c>
      <c r="C80" s="3">
        <v>1</v>
      </c>
      <c r="D80" s="3" t="s">
        <v>119</v>
      </c>
      <c r="E80" s="3" t="s">
        <v>110</v>
      </c>
      <c r="F80" s="4">
        <v>45601</v>
      </c>
    </row>
    <row r="81" spans="1:6" x14ac:dyDescent="0.25">
      <c r="A81" s="3" t="s">
        <v>5</v>
      </c>
      <c r="B81" s="3" t="s">
        <v>175</v>
      </c>
      <c r="C81" s="3">
        <v>1</v>
      </c>
      <c r="D81" s="3" t="s">
        <v>119</v>
      </c>
      <c r="E81" s="3" t="s">
        <v>110</v>
      </c>
      <c r="F81" s="4">
        <v>45601</v>
      </c>
    </row>
    <row r="82" spans="1:6" x14ac:dyDescent="0.25">
      <c r="A82" s="3" t="s">
        <v>78</v>
      </c>
      <c r="B82" s="3" t="s">
        <v>176</v>
      </c>
      <c r="C82" s="3">
        <v>1</v>
      </c>
      <c r="D82" s="3" t="s">
        <v>119</v>
      </c>
      <c r="E82" s="3" t="s">
        <v>110</v>
      </c>
      <c r="F82" s="4">
        <v>45601</v>
      </c>
    </row>
    <row r="83" spans="1:6" x14ac:dyDescent="0.25">
      <c r="A83" s="3" t="s">
        <v>109</v>
      </c>
      <c r="B83" s="3" t="s">
        <v>178</v>
      </c>
      <c r="C83" s="3">
        <v>1</v>
      </c>
      <c r="D83" s="3" t="s">
        <v>27</v>
      </c>
      <c r="E83" s="3" t="s">
        <v>80</v>
      </c>
      <c r="F83" s="4">
        <v>45648</v>
      </c>
    </row>
    <row r="84" spans="1:6" x14ac:dyDescent="0.25">
      <c r="A84" s="3" t="s">
        <v>11</v>
      </c>
      <c r="B84" s="3" t="s">
        <v>179</v>
      </c>
      <c r="C84" s="3">
        <v>1</v>
      </c>
      <c r="D84" s="3" t="s">
        <v>51</v>
      </c>
      <c r="E84" s="3" t="s">
        <v>28</v>
      </c>
      <c r="F84" s="4">
        <v>45660</v>
      </c>
    </row>
    <row r="85" spans="1:6" x14ac:dyDescent="0.25">
      <c r="A85" s="3" t="s">
        <v>5</v>
      </c>
      <c r="B85" s="3" t="s">
        <v>171</v>
      </c>
      <c r="C85" s="3">
        <v>1</v>
      </c>
      <c r="D85" s="3" t="s">
        <v>108</v>
      </c>
      <c r="E85" s="3" t="s">
        <v>24</v>
      </c>
      <c r="F85" s="4">
        <v>45317</v>
      </c>
    </row>
    <row r="86" spans="1:6" x14ac:dyDescent="0.25">
      <c r="A86" s="3" t="s">
        <v>5</v>
      </c>
      <c r="B86" s="3" t="s">
        <v>171</v>
      </c>
      <c r="C86" s="3">
        <v>1</v>
      </c>
      <c r="D86" s="3" t="s">
        <v>108</v>
      </c>
      <c r="E86" s="3" t="s">
        <v>24</v>
      </c>
      <c r="F86" s="4">
        <v>45317</v>
      </c>
    </row>
    <row r="87" spans="1:6" x14ac:dyDescent="0.25">
      <c r="A87" s="3" t="s">
        <v>5</v>
      </c>
      <c r="B87" s="3" t="s">
        <v>171</v>
      </c>
      <c r="C87" s="3">
        <v>1</v>
      </c>
      <c r="D87" s="3" t="s">
        <v>108</v>
      </c>
      <c r="E87" s="3" t="s">
        <v>24</v>
      </c>
      <c r="F87" s="4">
        <v>45317</v>
      </c>
    </row>
    <row r="88" spans="1:6" x14ac:dyDescent="0.25">
      <c r="A88" s="3" t="s">
        <v>5</v>
      </c>
      <c r="B88" s="3" t="s">
        <v>171</v>
      </c>
      <c r="C88" s="3">
        <v>1</v>
      </c>
      <c r="D88" s="3" t="s">
        <v>108</v>
      </c>
      <c r="E88" s="3" t="s">
        <v>24</v>
      </c>
      <c r="F88" s="4">
        <v>45317</v>
      </c>
    </row>
    <row r="89" spans="1:6" x14ac:dyDescent="0.25">
      <c r="A89" s="3" t="s">
        <v>5</v>
      </c>
      <c r="B89" s="3" t="s">
        <v>171</v>
      </c>
      <c r="C89" s="3">
        <v>1</v>
      </c>
      <c r="D89" s="3" t="s">
        <v>108</v>
      </c>
      <c r="E89" s="3" t="s">
        <v>24</v>
      </c>
      <c r="F89" s="4">
        <v>45317</v>
      </c>
    </row>
    <row r="90" spans="1:6" x14ac:dyDescent="0.25">
      <c r="A90" s="3" t="s">
        <v>5</v>
      </c>
      <c r="B90" s="3" t="s">
        <v>171</v>
      </c>
      <c r="C90" s="3">
        <v>1</v>
      </c>
      <c r="D90" s="3" t="s">
        <v>108</v>
      </c>
      <c r="E90" s="3" t="s">
        <v>24</v>
      </c>
      <c r="F90" s="4">
        <v>45317</v>
      </c>
    </row>
    <row r="91" spans="1:6" x14ac:dyDescent="0.25">
      <c r="A91" s="3" t="s">
        <v>5</v>
      </c>
      <c r="B91" s="3" t="s">
        <v>171</v>
      </c>
      <c r="C91" s="3">
        <v>1</v>
      </c>
      <c r="D91" s="3" t="s">
        <v>108</v>
      </c>
      <c r="E91" s="3" t="s">
        <v>24</v>
      </c>
      <c r="F91" s="4">
        <v>45317</v>
      </c>
    </row>
    <row r="92" spans="1:6" x14ac:dyDescent="0.25">
      <c r="A92" s="3" t="s">
        <v>5</v>
      </c>
      <c r="B92" s="3" t="s">
        <v>171</v>
      </c>
      <c r="C92" s="3">
        <v>1</v>
      </c>
      <c r="D92" s="3" t="s">
        <v>108</v>
      </c>
      <c r="E92" s="3" t="s">
        <v>24</v>
      </c>
      <c r="F92" s="4">
        <v>45317</v>
      </c>
    </row>
    <row r="93" spans="1:6" x14ac:dyDescent="0.25">
      <c r="A93" s="3" t="s">
        <v>5</v>
      </c>
      <c r="B93" s="3" t="s">
        <v>171</v>
      </c>
      <c r="C93" s="3">
        <v>1</v>
      </c>
      <c r="D93" s="3" t="s">
        <v>108</v>
      </c>
      <c r="E93" s="3" t="s">
        <v>24</v>
      </c>
      <c r="F93" s="4">
        <v>45317</v>
      </c>
    </row>
    <row r="94" spans="1:6" x14ac:dyDescent="0.25">
      <c r="A94" s="3" t="s">
        <v>5</v>
      </c>
      <c r="B94" s="3" t="s">
        <v>171</v>
      </c>
      <c r="C94" s="3">
        <v>1</v>
      </c>
      <c r="D94" s="3" t="s">
        <v>108</v>
      </c>
      <c r="E94" s="3" t="s">
        <v>24</v>
      </c>
      <c r="F94" s="4">
        <v>45317</v>
      </c>
    </row>
    <row r="95" spans="1:6" x14ac:dyDescent="0.25">
      <c r="A95" s="3" t="s">
        <v>5</v>
      </c>
      <c r="B95" s="3" t="s">
        <v>180</v>
      </c>
      <c r="C95" s="3">
        <v>1</v>
      </c>
      <c r="D95" s="3" t="s">
        <v>108</v>
      </c>
      <c r="E95" s="3" t="s">
        <v>24</v>
      </c>
      <c r="F95" s="4">
        <v>45317</v>
      </c>
    </row>
    <row r="96" spans="1:6" x14ac:dyDescent="0.25">
      <c r="A96" s="3" t="s">
        <v>5</v>
      </c>
      <c r="B96" s="3" t="s">
        <v>171</v>
      </c>
      <c r="C96" s="3">
        <v>1</v>
      </c>
      <c r="D96" s="3" t="s">
        <v>108</v>
      </c>
      <c r="E96" s="3" t="s">
        <v>24</v>
      </c>
      <c r="F96" s="4">
        <v>45683</v>
      </c>
    </row>
    <row r="97" spans="1:6" x14ac:dyDescent="0.25">
      <c r="A97" s="3" t="s">
        <v>5</v>
      </c>
      <c r="B97" s="3" t="s">
        <v>171</v>
      </c>
      <c r="C97" s="3">
        <v>1</v>
      </c>
      <c r="D97" s="3" t="s">
        <v>108</v>
      </c>
      <c r="E97" s="3" t="s">
        <v>24</v>
      </c>
      <c r="F97" s="4">
        <v>45683</v>
      </c>
    </row>
    <row r="98" spans="1:6" x14ac:dyDescent="0.25">
      <c r="A98" s="3" t="s">
        <v>5</v>
      </c>
      <c r="B98" s="3" t="s">
        <v>180</v>
      </c>
      <c r="C98" s="3">
        <v>1</v>
      </c>
      <c r="D98" s="3" t="s">
        <v>108</v>
      </c>
      <c r="E98" s="3" t="s">
        <v>24</v>
      </c>
      <c r="F98" s="4">
        <v>45683</v>
      </c>
    </row>
    <row r="99" spans="1:6" x14ac:dyDescent="0.25">
      <c r="A99" s="3" t="s">
        <v>5</v>
      </c>
      <c r="B99" s="3" t="s">
        <v>180</v>
      </c>
      <c r="C99" s="3">
        <v>1</v>
      </c>
      <c r="D99" s="3" t="s">
        <v>108</v>
      </c>
      <c r="E99" s="3" t="s">
        <v>24</v>
      </c>
      <c r="F99" s="4">
        <v>45683</v>
      </c>
    </row>
    <row r="100" spans="1:6" x14ac:dyDescent="0.25">
      <c r="A100" s="3" t="s">
        <v>5</v>
      </c>
      <c r="B100" s="3" t="s">
        <v>171</v>
      </c>
      <c r="C100" s="3">
        <v>1</v>
      </c>
      <c r="D100" s="3" t="s">
        <v>108</v>
      </c>
      <c r="E100" s="3" t="s">
        <v>24</v>
      </c>
      <c r="F100" s="4">
        <v>45683</v>
      </c>
    </row>
    <row r="101" spans="1:6" x14ac:dyDescent="0.25">
      <c r="A101" s="3" t="s">
        <v>11</v>
      </c>
      <c r="B101" s="3" t="s">
        <v>50</v>
      </c>
      <c r="C101" s="3">
        <v>1</v>
      </c>
      <c r="D101" s="3" t="s">
        <v>20</v>
      </c>
      <c r="E101" s="3" t="s">
        <v>181</v>
      </c>
      <c r="F101" s="4">
        <v>45695</v>
      </c>
    </row>
    <row r="102" spans="1:6" x14ac:dyDescent="0.25">
      <c r="A102" s="3" t="s">
        <v>11</v>
      </c>
      <c r="B102" s="3" t="s">
        <v>98</v>
      </c>
      <c r="C102" s="3">
        <v>1</v>
      </c>
      <c r="D102" s="3" t="s">
        <v>19</v>
      </c>
      <c r="E102" s="3" t="s">
        <v>37</v>
      </c>
      <c r="F102" s="4">
        <v>45711</v>
      </c>
    </row>
    <row r="103" spans="1:6" x14ac:dyDescent="0.25">
      <c r="A103" s="3" t="s">
        <v>4</v>
      </c>
      <c r="B103" s="3" t="s">
        <v>97</v>
      </c>
      <c r="C103" s="3">
        <v>1</v>
      </c>
      <c r="D103" s="3" t="s">
        <v>18</v>
      </c>
      <c r="E103" s="3" t="s">
        <v>66</v>
      </c>
      <c r="F103" s="4">
        <v>45747</v>
      </c>
    </row>
    <row r="104" spans="1:6" x14ac:dyDescent="0.25">
      <c r="A104" s="3" t="s">
        <v>11</v>
      </c>
      <c r="B104" s="3" t="s">
        <v>56</v>
      </c>
      <c r="C104" s="3">
        <v>1</v>
      </c>
      <c r="D104" s="3" t="s">
        <v>17</v>
      </c>
      <c r="E104" s="3" t="s">
        <v>182</v>
      </c>
      <c r="F104" s="4">
        <v>45752</v>
      </c>
    </row>
    <row r="105" spans="1:6" x14ac:dyDescent="0.25">
      <c r="A105" s="3" t="s">
        <v>11</v>
      </c>
      <c r="B105" s="3" t="s">
        <v>54</v>
      </c>
      <c r="C105" s="3">
        <v>1</v>
      </c>
      <c r="D105" s="3" t="s">
        <v>75</v>
      </c>
      <c r="E105" s="3" t="s">
        <v>132</v>
      </c>
      <c r="F105" s="4">
        <v>45752</v>
      </c>
    </row>
    <row r="106" spans="1:6" x14ac:dyDescent="0.25">
      <c r="A106" s="3" t="s">
        <v>161</v>
      </c>
      <c r="B106" s="3" t="s">
        <v>6</v>
      </c>
      <c r="C106" s="3">
        <v>1</v>
      </c>
      <c r="D106" s="3" t="s">
        <v>18</v>
      </c>
      <c r="E106" s="3" t="s">
        <v>123</v>
      </c>
      <c r="F106" s="4">
        <v>45753</v>
      </c>
    </row>
    <row r="107" spans="1:6" x14ac:dyDescent="0.25">
      <c r="A107" s="3" t="s">
        <v>161</v>
      </c>
      <c r="B107" s="3" t="s">
        <v>6</v>
      </c>
      <c r="C107" s="3">
        <v>1</v>
      </c>
      <c r="D107" s="3" t="s">
        <v>18</v>
      </c>
      <c r="E107" s="3" t="s">
        <v>123</v>
      </c>
      <c r="F107" s="4">
        <v>45753</v>
      </c>
    </row>
    <row r="108" spans="1:6" x14ac:dyDescent="0.25">
      <c r="A108" s="3" t="s">
        <v>161</v>
      </c>
      <c r="B108" s="3" t="s">
        <v>6</v>
      </c>
      <c r="C108" s="3">
        <v>1</v>
      </c>
      <c r="D108" s="3" t="s">
        <v>18</v>
      </c>
      <c r="E108" s="3" t="s">
        <v>123</v>
      </c>
      <c r="F108" s="4">
        <v>45753</v>
      </c>
    </row>
    <row r="109" spans="1:6" x14ac:dyDescent="0.25">
      <c r="A109" s="3" t="s">
        <v>161</v>
      </c>
      <c r="B109" s="3" t="s">
        <v>6</v>
      </c>
      <c r="C109" s="3">
        <v>1</v>
      </c>
      <c r="D109" s="3" t="s">
        <v>18</v>
      </c>
      <c r="E109" s="3" t="s">
        <v>123</v>
      </c>
      <c r="F109" s="4">
        <v>45753</v>
      </c>
    </row>
    <row r="110" spans="1:6" x14ac:dyDescent="0.25">
      <c r="A110" s="3" t="s">
        <v>11</v>
      </c>
      <c r="B110" s="3" t="s">
        <v>150</v>
      </c>
      <c r="C110" s="3">
        <v>1</v>
      </c>
      <c r="D110" s="3" t="s">
        <v>21</v>
      </c>
      <c r="E110" s="3" t="s">
        <v>14</v>
      </c>
      <c r="F110" s="4">
        <v>45753</v>
      </c>
    </row>
    <row r="111" spans="1:6" x14ac:dyDescent="0.25">
      <c r="A111" s="3" t="s">
        <v>184</v>
      </c>
      <c r="B111" s="3" t="s">
        <v>183</v>
      </c>
      <c r="C111" s="3">
        <v>1</v>
      </c>
      <c r="D111" s="3" t="s">
        <v>18</v>
      </c>
      <c r="E111" s="3" t="s">
        <v>123</v>
      </c>
      <c r="F111" s="4">
        <v>45753</v>
      </c>
    </row>
    <row r="112" spans="1:6" x14ac:dyDescent="0.25">
      <c r="A112" s="3" t="s">
        <v>4</v>
      </c>
      <c r="B112" s="3" t="s">
        <v>85</v>
      </c>
      <c r="C112" s="3">
        <v>1</v>
      </c>
      <c r="D112" s="3" t="s">
        <v>10</v>
      </c>
      <c r="E112" s="3" t="s">
        <v>79</v>
      </c>
      <c r="F112" s="4">
        <v>45757</v>
      </c>
    </row>
    <row r="113" spans="1:6" x14ac:dyDescent="0.25">
      <c r="A113" s="3" t="s">
        <v>11</v>
      </c>
      <c r="B113" s="3" t="s">
        <v>185</v>
      </c>
      <c r="C113" s="3">
        <v>1</v>
      </c>
      <c r="D113" s="3" t="s">
        <v>59</v>
      </c>
      <c r="E113" s="3" t="s">
        <v>22</v>
      </c>
      <c r="F113" s="4">
        <v>45757</v>
      </c>
    </row>
    <row r="114" spans="1:6" x14ac:dyDescent="0.25">
      <c r="A114" s="3" t="s">
        <v>11</v>
      </c>
      <c r="B114" s="3" t="s">
        <v>186</v>
      </c>
      <c r="C114" s="3">
        <v>1</v>
      </c>
      <c r="D114" s="3" t="s">
        <v>59</v>
      </c>
      <c r="E114" s="3" t="s">
        <v>22</v>
      </c>
      <c r="F114" s="4">
        <v>45757</v>
      </c>
    </row>
    <row r="115" spans="1:6" x14ac:dyDescent="0.25">
      <c r="A115" s="3" t="s">
        <v>11</v>
      </c>
      <c r="B115" s="3" t="s">
        <v>56</v>
      </c>
      <c r="C115" s="3">
        <v>1</v>
      </c>
      <c r="D115" s="3" t="s">
        <v>29</v>
      </c>
      <c r="E115" s="3" t="s">
        <v>66</v>
      </c>
      <c r="F115" s="4">
        <v>45785</v>
      </c>
    </row>
    <row r="116" spans="1:6" x14ac:dyDescent="0.25">
      <c r="A116" s="3" t="s">
        <v>189</v>
      </c>
      <c r="B116" s="3" t="s">
        <v>188</v>
      </c>
      <c r="C116" s="3">
        <v>1</v>
      </c>
      <c r="D116" s="3" t="s">
        <v>47</v>
      </c>
      <c r="E116" s="3" t="s">
        <v>190</v>
      </c>
      <c r="F116" s="4">
        <v>45788</v>
      </c>
    </row>
    <row r="117" spans="1:6" x14ac:dyDescent="0.25">
      <c r="A117" s="3" t="s">
        <v>192</v>
      </c>
      <c r="B117" s="3" t="s">
        <v>191</v>
      </c>
      <c r="C117" s="3">
        <v>1</v>
      </c>
      <c r="D117" s="3" t="s">
        <v>47</v>
      </c>
      <c r="E117" s="3" t="s">
        <v>190</v>
      </c>
      <c r="F117" s="4">
        <v>45788</v>
      </c>
    </row>
    <row r="118" spans="1:6" x14ac:dyDescent="0.25">
      <c r="A118" s="3" t="s">
        <v>11</v>
      </c>
      <c r="B118" s="3" t="s">
        <v>12</v>
      </c>
      <c r="C118" s="3">
        <v>1</v>
      </c>
      <c r="D118" s="3" t="s">
        <v>36</v>
      </c>
      <c r="E118" s="3" t="s">
        <v>130</v>
      </c>
      <c r="F118" s="4">
        <v>45791</v>
      </c>
    </row>
    <row r="119" spans="1:6" x14ac:dyDescent="0.25">
      <c r="A119" s="3" t="s">
        <v>11</v>
      </c>
      <c r="B119" s="3" t="s">
        <v>56</v>
      </c>
      <c r="C119" s="3">
        <v>1</v>
      </c>
      <c r="D119" s="3" t="s">
        <v>18</v>
      </c>
      <c r="E119" s="3" t="s">
        <v>182</v>
      </c>
      <c r="F119" s="4">
        <v>45798</v>
      </c>
    </row>
    <row r="120" spans="1:6" x14ac:dyDescent="0.25">
      <c r="A120" s="3" t="s">
        <v>52</v>
      </c>
      <c r="B120" s="3" t="s">
        <v>41</v>
      </c>
      <c r="C120" s="3">
        <v>1</v>
      </c>
      <c r="D120" s="3" t="s">
        <v>36</v>
      </c>
      <c r="E120" s="3" t="s">
        <v>40</v>
      </c>
      <c r="F120" s="4">
        <v>45803</v>
      </c>
    </row>
    <row r="121" spans="1:6" x14ac:dyDescent="0.25">
      <c r="A121" s="3" t="s">
        <v>11</v>
      </c>
      <c r="B121" s="3" t="s">
        <v>12</v>
      </c>
      <c r="C121" s="3">
        <v>1</v>
      </c>
      <c r="D121" s="3" t="s">
        <v>13</v>
      </c>
      <c r="E121" s="3" t="s">
        <v>174</v>
      </c>
      <c r="F121" s="4">
        <v>45804</v>
      </c>
    </row>
    <row r="122" spans="1:6" x14ac:dyDescent="0.25">
      <c r="A122" s="3" t="s">
        <v>11</v>
      </c>
      <c r="B122" s="3" t="s">
        <v>12</v>
      </c>
      <c r="C122" s="3">
        <v>1</v>
      </c>
      <c r="D122" s="3" t="s">
        <v>16</v>
      </c>
      <c r="E122" s="3" t="s">
        <v>177</v>
      </c>
      <c r="F122" s="4">
        <v>45804</v>
      </c>
    </row>
    <row r="123" spans="1:6" x14ac:dyDescent="0.25">
      <c r="A123" s="3" t="s">
        <v>11</v>
      </c>
      <c r="B123" s="3" t="s">
        <v>193</v>
      </c>
      <c r="C123" s="3">
        <v>1</v>
      </c>
      <c r="D123" s="3" t="s">
        <v>99</v>
      </c>
      <c r="E123" s="3" t="s">
        <v>127</v>
      </c>
      <c r="F123" s="4">
        <v>45816</v>
      </c>
    </row>
    <row r="124" spans="1:6" x14ac:dyDescent="0.25">
      <c r="A124" s="3" t="s">
        <v>11</v>
      </c>
      <c r="B124" s="3" t="s">
        <v>56</v>
      </c>
      <c r="C124" s="3">
        <v>1</v>
      </c>
      <c r="D124" s="3" t="s">
        <v>36</v>
      </c>
      <c r="E124" s="3" t="s">
        <v>107</v>
      </c>
      <c r="F124" s="4">
        <v>45827</v>
      </c>
    </row>
    <row r="125" spans="1:6" x14ac:dyDescent="0.25">
      <c r="A125" s="3" t="s">
        <v>11</v>
      </c>
      <c r="B125" s="3" t="s">
        <v>56</v>
      </c>
      <c r="C125" s="3">
        <v>1</v>
      </c>
      <c r="D125" s="3" t="s">
        <v>94</v>
      </c>
      <c r="E125" s="3" t="s">
        <v>89</v>
      </c>
      <c r="F125" s="4">
        <v>45831</v>
      </c>
    </row>
    <row r="126" spans="1:6" x14ac:dyDescent="0.25">
      <c r="A126" s="3" t="s">
        <v>194</v>
      </c>
      <c r="B126" s="3" t="s">
        <v>195</v>
      </c>
      <c r="C126" s="3">
        <v>1</v>
      </c>
      <c r="D126" s="3" t="s">
        <v>105</v>
      </c>
      <c r="E126" s="3" t="s">
        <v>42</v>
      </c>
      <c r="F126" s="4">
        <v>45832</v>
      </c>
    </row>
    <row r="127" spans="1:6" x14ac:dyDescent="0.25">
      <c r="A127" s="3" t="s">
        <v>11</v>
      </c>
      <c r="B127" s="3" t="s">
        <v>12</v>
      </c>
      <c r="C127" s="3">
        <v>1</v>
      </c>
      <c r="D127" s="3" t="s">
        <v>9</v>
      </c>
      <c r="E127" s="3" t="s">
        <v>104</v>
      </c>
      <c r="F127" s="4">
        <v>45849</v>
      </c>
    </row>
    <row r="128" spans="1:6" x14ac:dyDescent="0.25">
      <c r="A128" s="3" t="s">
        <v>11</v>
      </c>
      <c r="B128" s="3" t="s">
        <v>12</v>
      </c>
      <c r="C128" s="3">
        <v>1</v>
      </c>
      <c r="D128" s="3" t="s">
        <v>33</v>
      </c>
      <c r="E128" s="3" t="s">
        <v>130</v>
      </c>
      <c r="F128" s="4">
        <v>45851</v>
      </c>
    </row>
    <row r="129" spans="1:6" x14ac:dyDescent="0.25">
      <c r="A129" s="3" t="s">
        <v>4</v>
      </c>
      <c r="B129" s="3" t="s">
        <v>197</v>
      </c>
      <c r="C129" s="3">
        <v>1</v>
      </c>
      <c r="D129" s="3" t="s">
        <v>84</v>
      </c>
      <c r="E129" s="3" t="s">
        <v>133</v>
      </c>
      <c r="F129" s="4">
        <v>45853</v>
      </c>
    </row>
    <row r="130" spans="1:6" x14ac:dyDescent="0.25">
      <c r="A130" s="3" t="s">
        <v>11</v>
      </c>
      <c r="B130" s="3" t="s">
        <v>196</v>
      </c>
      <c r="C130" s="3">
        <v>1</v>
      </c>
      <c r="D130" s="3" t="s">
        <v>84</v>
      </c>
      <c r="E130" s="3" t="s">
        <v>133</v>
      </c>
      <c r="F130" s="4">
        <v>45854</v>
      </c>
    </row>
    <row r="131" spans="1:6" x14ac:dyDescent="0.25">
      <c r="A131" s="3" t="s">
        <v>11</v>
      </c>
      <c r="B131" s="3" t="s">
        <v>56</v>
      </c>
      <c r="C131" s="3">
        <v>1</v>
      </c>
      <c r="D131" s="3" t="s">
        <v>71</v>
      </c>
      <c r="E131" s="3" t="s">
        <v>49</v>
      </c>
      <c r="F131" s="4">
        <v>45860</v>
      </c>
    </row>
    <row r="132" spans="1:6" x14ac:dyDescent="0.25">
      <c r="A132" s="3" t="s">
        <v>199</v>
      </c>
      <c r="B132" s="3" t="s">
        <v>198</v>
      </c>
      <c r="C132" s="3">
        <v>1</v>
      </c>
      <c r="D132" s="3" t="s">
        <v>121</v>
      </c>
      <c r="E132" s="3" t="s">
        <v>61</v>
      </c>
      <c r="F132" s="4">
        <v>45870</v>
      </c>
    </row>
    <row r="133" spans="1:6" x14ac:dyDescent="0.25">
      <c r="A133" s="3" t="s">
        <v>11</v>
      </c>
      <c r="B133" s="3" t="s">
        <v>12</v>
      </c>
      <c r="C133" s="3">
        <v>1</v>
      </c>
      <c r="D133" s="3" t="s">
        <v>26</v>
      </c>
      <c r="E133" s="3" t="s">
        <v>182</v>
      </c>
      <c r="F133" s="4">
        <v>45880</v>
      </c>
    </row>
    <row r="134" spans="1:6" x14ac:dyDescent="0.25">
      <c r="A134" s="3" t="s">
        <v>201</v>
      </c>
      <c r="B134" s="3" t="s">
        <v>200</v>
      </c>
      <c r="C134" s="3">
        <v>1</v>
      </c>
      <c r="D134" s="3" t="s">
        <v>65</v>
      </c>
      <c r="E134" s="3" t="s">
        <v>57</v>
      </c>
      <c r="F134" s="4">
        <v>45880</v>
      </c>
    </row>
    <row r="135" spans="1:6" x14ac:dyDescent="0.25">
      <c r="A135" s="3" t="s">
        <v>11</v>
      </c>
      <c r="B135" s="3" t="s">
        <v>150</v>
      </c>
      <c r="C135" s="3">
        <v>1</v>
      </c>
      <c r="D135" s="3" t="s">
        <v>86</v>
      </c>
      <c r="E135" s="3" t="s">
        <v>140</v>
      </c>
      <c r="F135" s="4">
        <v>45888</v>
      </c>
    </row>
    <row r="136" spans="1:6" x14ac:dyDescent="0.25">
      <c r="A136" s="3" t="s">
        <v>203</v>
      </c>
      <c r="B136" s="3" t="s">
        <v>202</v>
      </c>
      <c r="C136" s="3">
        <v>1</v>
      </c>
      <c r="D136" s="3" t="s">
        <v>48</v>
      </c>
      <c r="E136" s="3" t="s">
        <v>187</v>
      </c>
      <c r="F136" s="4">
        <v>45890</v>
      </c>
    </row>
    <row r="137" spans="1:6" x14ac:dyDescent="0.25">
      <c r="A137" s="3" t="s">
        <v>206</v>
      </c>
      <c r="B137" s="3" t="s">
        <v>205</v>
      </c>
      <c r="C137" s="3">
        <v>1</v>
      </c>
      <c r="D137" s="3" t="s">
        <v>48</v>
      </c>
      <c r="E137" s="3" t="s">
        <v>187</v>
      </c>
      <c r="F137" s="4">
        <v>45890</v>
      </c>
    </row>
    <row r="138" spans="1:6" x14ac:dyDescent="0.25">
      <c r="A138" s="3" t="s">
        <v>11</v>
      </c>
      <c r="B138" s="3" t="s">
        <v>50</v>
      </c>
      <c r="C138" s="3">
        <v>1</v>
      </c>
      <c r="D138" s="3" t="s">
        <v>119</v>
      </c>
      <c r="E138" s="3" t="s">
        <v>112</v>
      </c>
      <c r="F138" s="4">
        <v>45890</v>
      </c>
    </row>
    <row r="139" spans="1:6" x14ac:dyDescent="0.25">
      <c r="A139" s="3" t="s">
        <v>11</v>
      </c>
      <c r="B139" s="3" t="s">
        <v>56</v>
      </c>
      <c r="C139" s="3">
        <v>1</v>
      </c>
      <c r="D139" s="3" t="s">
        <v>67</v>
      </c>
      <c r="E139" s="3" t="s">
        <v>77</v>
      </c>
      <c r="F139" s="4">
        <v>45896</v>
      </c>
    </row>
    <row r="140" spans="1:6" x14ac:dyDescent="0.25">
      <c r="A140" s="5" t="s">
        <v>5</v>
      </c>
      <c r="B140" s="3" t="s">
        <v>6</v>
      </c>
      <c r="C140" s="3">
        <v>1</v>
      </c>
      <c r="D140" s="3" t="s">
        <v>17</v>
      </c>
      <c r="E140" s="3" t="s">
        <v>204</v>
      </c>
      <c r="F140" s="4">
        <v>45903</v>
      </c>
    </row>
    <row r="141" spans="1:6" x14ac:dyDescent="0.25">
      <c r="A141" s="5" t="s">
        <v>5</v>
      </c>
      <c r="B141" s="3" t="s">
        <v>6</v>
      </c>
      <c r="C141" s="3">
        <v>1</v>
      </c>
      <c r="D141" s="3" t="s">
        <v>17</v>
      </c>
      <c r="E141" s="3" t="s">
        <v>204</v>
      </c>
      <c r="F141" s="4">
        <v>45903</v>
      </c>
    </row>
    <row r="142" spans="1:6" x14ac:dyDescent="0.25">
      <c r="A142" s="3" t="s">
        <v>11</v>
      </c>
      <c r="B142" s="3" t="s">
        <v>150</v>
      </c>
      <c r="C142" s="3">
        <v>1</v>
      </c>
      <c r="D142" s="3" t="s">
        <v>151</v>
      </c>
      <c r="E142" s="3" t="s">
        <v>73</v>
      </c>
      <c r="F142" s="4">
        <v>45907</v>
      </c>
    </row>
    <row r="143" spans="1:6" x14ac:dyDescent="0.25">
      <c r="A143" s="3" t="s">
        <v>11</v>
      </c>
      <c r="B143" s="3" t="s">
        <v>56</v>
      </c>
      <c r="C143" s="3">
        <v>1</v>
      </c>
      <c r="D143" s="3" t="s">
        <v>16</v>
      </c>
      <c r="E143" s="3" t="s">
        <v>31</v>
      </c>
      <c r="F143" s="4">
        <v>45914</v>
      </c>
    </row>
    <row r="144" spans="1:6" x14ac:dyDescent="0.25">
      <c r="A144" s="3" t="s">
        <v>4</v>
      </c>
      <c r="B144" s="3" t="s">
        <v>85</v>
      </c>
      <c r="C144" s="3">
        <v>1</v>
      </c>
      <c r="D144" s="3" t="s">
        <v>10</v>
      </c>
      <c r="E144" s="3" t="s">
        <v>82</v>
      </c>
      <c r="F144" s="4">
        <v>45924</v>
      </c>
    </row>
    <row r="145" spans="1:6" x14ac:dyDescent="0.25">
      <c r="A145" s="3" t="s">
        <v>5</v>
      </c>
      <c r="B145" s="3" t="s">
        <v>180</v>
      </c>
      <c r="C145" s="3">
        <v>1</v>
      </c>
      <c r="D145" s="3" t="s">
        <v>21</v>
      </c>
      <c r="E145" s="3" t="s">
        <v>106</v>
      </c>
      <c r="F145" s="4">
        <v>45928</v>
      </c>
    </row>
    <row r="146" spans="1:6" x14ac:dyDescent="0.25">
      <c r="A146" s="3" t="s">
        <v>5</v>
      </c>
      <c r="B146" s="3" t="s">
        <v>180</v>
      </c>
      <c r="C146" s="3">
        <v>1</v>
      </c>
      <c r="D146" s="3" t="s">
        <v>21</v>
      </c>
      <c r="E146" s="3" t="s">
        <v>106</v>
      </c>
      <c r="F146" s="4">
        <v>45928</v>
      </c>
    </row>
    <row r="147" spans="1:6" x14ac:dyDescent="0.25">
      <c r="A147" s="3" t="s">
        <v>5</v>
      </c>
      <c r="B147" s="3" t="s">
        <v>180</v>
      </c>
      <c r="C147" s="3">
        <v>1</v>
      </c>
      <c r="D147" s="3" t="s">
        <v>21</v>
      </c>
      <c r="E147" s="3" t="s">
        <v>106</v>
      </c>
      <c r="F147" s="4">
        <v>45928</v>
      </c>
    </row>
    <row r="148" spans="1:6" x14ac:dyDescent="0.25">
      <c r="A148" s="3" t="s">
        <v>5</v>
      </c>
      <c r="B148" s="3" t="s">
        <v>180</v>
      </c>
      <c r="C148" s="3">
        <v>1</v>
      </c>
      <c r="D148" s="3" t="s">
        <v>21</v>
      </c>
      <c r="E148" s="3" t="s">
        <v>106</v>
      </c>
      <c r="F148" s="4">
        <v>45928</v>
      </c>
    </row>
    <row r="149" spans="1:6" x14ac:dyDescent="0.25">
      <c r="A149" s="3" t="s">
        <v>5</v>
      </c>
      <c r="B149" s="3" t="s">
        <v>180</v>
      </c>
      <c r="C149" s="3">
        <v>1</v>
      </c>
      <c r="D149" s="3" t="s">
        <v>21</v>
      </c>
      <c r="E149" s="3" t="s">
        <v>106</v>
      </c>
      <c r="F149" s="4">
        <v>45928</v>
      </c>
    </row>
    <row r="150" spans="1:6" x14ac:dyDescent="0.25">
      <c r="A150" s="3" t="s">
        <v>5</v>
      </c>
      <c r="B150" s="3" t="s">
        <v>180</v>
      </c>
      <c r="C150" s="3">
        <v>1</v>
      </c>
      <c r="D150" s="3" t="s">
        <v>21</v>
      </c>
      <c r="E150" s="3" t="s">
        <v>106</v>
      </c>
      <c r="F150" s="4">
        <v>45928</v>
      </c>
    </row>
    <row r="151" spans="1:6" x14ac:dyDescent="0.25">
      <c r="A151" s="3" t="s">
        <v>5</v>
      </c>
      <c r="B151" s="3" t="s">
        <v>180</v>
      </c>
      <c r="C151" s="3">
        <v>1</v>
      </c>
      <c r="D151" s="3" t="s">
        <v>21</v>
      </c>
      <c r="E151" s="3" t="s">
        <v>106</v>
      </c>
      <c r="F151" s="4">
        <v>45928</v>
      </c>
    </row>
    <row r="152" spans="1:6" x14ac:dyDescent="0.25">
      <c r="A152" s="3" t="s">
        <v>5</v>
      </c>
      <c r="B152" s="3" t="s">
        <v>180</v>
      </c>
      <c r="C152" s="3">
        <v>1</v>
      </c>
      <c r="D152" s="3" t="s">
        <v>21</v>
      </c>
      <c r="E152" s="3" t="s">
        <v>106</v>
      </c>
      <c r="F152" s="4">
        <v>45928</v>
      </c>
    </row>
    <row r="153" spans="1:6" x14ac:dyDescent="0.25">
      <c r="A153" s="3" t="s">
        <v>5</v>
      </c>
      <c r="B153" s="3" t="s">
        <v>180</v>
      </c>
      <c r="C153" s="3">
        <v>1</v>
      </c>
      <c r="D153" s="3" t="s">
        <v>21</v>
      </c>
      <c r="E153" s="3" t="s">
        <v>106</v>
      </c>
      <c r="F153" s="4">
        <v>45928</v>
      </c>
    </row>
    <row r="154" spans="1:6" x14ac:dyDescent="0.25">
      <c r="A154" s="3" t="s">
        <v>5</v>
      </c>
      <c r="B154" s="3" t="s">
        <v>180</v>
      </c>
      <c r="C154" s="3">
        <v>1</v>
      </c>
      <c r="D154" s="3" t="s">
        <v>21</v>
      </c>
      <c r="E154" s="3" t="s">
        <v>106</v>
      </c>
      <c r="F154" s="4">
        <v>45928</v>
      </c>
    </row>
    <row r="155" spans="1:6" x14ac:dyDescent="0.25">
      <c r="A155" s="3" t="s">
        <v>5</v>
      </c>
      <c r="B155" s="3" t="s">
        <v>180</v>
      </c>
      <c r="C155" s="3">
        <v>1</v>
      </c>
      <c r="D155" s="3" t="s">
        <v>21</v>
      </c>
      <c r="E155" s="3" t="s">
        <v>106</v>
      </c>
      <c r="F155" s="4">
        <v>45928</v>
      </c>
    </row>
    <row r="156" spans="1:6" x14ac:dyDescent="0.25">
      <c r="A156" s="3" t="s">
        <v>11</v>
      </c>
      <c r="B156" s="3" t="s">
        <v>12</v>
      </c>
      <c r="C156" s="3">
        <v>1</v>
      </c>
      <c r="D156" s="3" t="s">
        <v>124</v>
      </c>
      <c r="E156" s="3" t="s">
        <v>96</v>
      </c>
      <c r="F156" s="4">
        <v>45936</v>
      </c>
    </row>
    <row r="157" spans="1:6" x14ac:dyDescent="0.25">
      <c r="A157" s="3" t="s">
        <v>11</v>
      </c>
      <c r="B157" s="3" t="s">
        <v>12</v>
      </c>
      <c r="C157" s="3">
        <v>1</v>
      </c>
      <c r="D157" s="3" t="s">
        <v>166</v>
      </c>
      <c r="E157" s="3" t="s">
        <v>100</v>
      </c>
      <c r="F157" s="4">
        <v>45941</v>
      </c>
    </row>
    <row r="158" spans="1:6" x14ac:dyDescent="0.25">
      <c r="A158" s="3" t="s">
        <v>11</v>
      </c>
      <c r="B158" s="3" t="s">
        <v>12</v>
      </c>
      <c r="C158" s="3">
        <v>1</v>
      </c>
      <c r="D158" s="3" t="s">
        <v>113</v>
      </c>
      <c r="E158" s="3" t="s">
        <v>90</v>
      </c>
      <c r="F158" s="4">
        <v>45942</v>
      </c>
    </row>
    <row r="159" spans="1:6" x14ac:dyDescent="0.25">
      <c r="A159" s="3" t="s">
        <v>11</v>
      </c>
      <c r="B159" s="3" t="s">
        <v>54</v>
      </c>
      <c r="C159" s="3">
        <v>1</v>
      </c>
      <c r="D159" s="3" t="s">
        <v>131</v>
      </c>
      <c r="E159" s="3" t="s">
        <v>60</v>
      </c>
      <c r="F159" s="4">
        <v>45953</v>
      </c>
    </row>
    <row r="160" spans="1:6" x14ac:dyDescent="0.25">
      <c r="A160" s="3" t="s">
        <v>118</v>
      </c>
      <c r="B160" s="3" t="s">
        <v>164</v>
      </c>
      <c r="C160" s="3">
        <v>1</v>
      </c>
      <c r="D160" s="3" t="s">
        <v>94</v>
      </c>
      <c r="E160" s="3" t="s">
        <v>68</v>
      </c>
      <c r="F160" s="4">
        <v>45958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SCREEN</vt:lpstr>
      <vt:lpstr>TOP LIST</vt:lpstr>
      <vt:lpstr>BOXES</vt:lpstr>
      <vt:lpstr>AOG LIST</vt:lpstr>
      <vt:lpstr>B787___B777___A350___A320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s_kar</dc:creator>
  <cp:lastModifiedBy>IBRAHIM HALIL TASKIN (Lojistik Baskanligi (Lojistik Md</cp:lastModifiedBy>
  <cp:lastPrinted>2025-12-01T05:18:12Z</cp:lastPrinted>
  <dcterms:created xsi:type="dcterms:W3CDTF">2024-01-02T11:20:44Z</dcterms:created>
  <dcterms:modified xsi:type="dcterms:W3CDTF">2025-12-30T07:45:13Z</dcterms:modified>
</cp:coreProperties>
</file>